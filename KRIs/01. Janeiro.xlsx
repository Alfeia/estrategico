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DOS\GRC\Gestão de Riscos\0. Apartir de 2018\32. Riscos Estratégicos\Riscos Estratégicos\2026\KRI\01. Janeiro\"/>
    </mc:Choice>
  </mc:AlternateContent>
  <xr:revisionPtr revIDLastSave="0" documentId="13_ncr:1_{67D6D2D1-1C89-4105-954E-C57E0DF5364E}" xr6:coauthVersionLast="47" xr6:coauthVersionMax="47" xr10:uidLastSave="{00000000-0000-0000-0000-000000000000}"/>
  <bookViews>
    <workbookView xWindow="-120" yWindow="-120" windowWidth="20730" windowHeight="11040" tabRatio="727" firstSheet="2" activeTab="5" xr2:uid="{CC7D774D-ECA4-41CA-A47B-C16C84706021}"/>
  </bookViews>
  <sheets>
    <sheet name="1-Desequilíbrio Atuarial " sheetId="17" r:id="rId1"/>
    <sheet name="Planilha1" sheetId="14" state="hidden" r:id="rId2"/>
    <sheet name="2- Legal, Reg. e Governança" sheetId="12" r:id="rId3"/>
    <sheet name="3 -  Cibernético e Tecnologia" sheetId="5" r:id="rId4"/>
    <sheet name="Planilha3" sheetId="16" state="hidden" r:id="rId5"/>
    <sheet name="4- Inef. Operacinal" sheetId="8" r:id="rId6"/>
    <sheet name="Planilha2" sheetId="15" r:id="rId7"/>
  </sheets>
  <definedNames>
    <definedName name="_xlnm._FilterDatabase" localSheetId="0" hidden="1">'1-Desequilíbrio Atuarial '!$B$3:$U$14</definedName>
    <definedName name="_xlnm._FilterDatabase" localSheetId="2" hidden="1">'2- Legal, Reg. e Governança'!$C$3:$P$23</definedName>
    <definedName name="_xlnm._FilterDatabase" localSheetId="3" hidden="1">'3 -  Cibernético e Tecnologia'!$B$3:$Q$16</definedName>
    <definedName name="_xlnm._FilterDatabase" localSheetId="5" hidden="1">'4- Inef. Operacinal'!$B$3:$P$15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7" l="1"/>
  <c r="O5" i="5" l="1"/>
  <c r="L7" i="17"/>
  <c r="M12" i="17"/>
  <c r="Q5" i="17" l="1"/>
  <c r="Q6" i="17"/>
  <c r="Q7" i="17"/>
  <c r="Q8" i="17"/>
  <c r="Q9" i="17"/>
  <c r="Q10" i="17"/>
  <c r="Q11" i="17"/>
  <c r="Q12" i="17"/>
  <c r="Q4" i="17"/>
  <c r="I20" i="8" l="1"/>
  <c r="M11" i="17" l="1"/>
  <c r="L11" i="17"/>
  <c r="L4" i="17"/>
  <c r="M10" i="17"/>
  <c r="L10" i="17"/>
  <c r="N10" i="17" l="1"/>
  <c r="N11" i="17"/>
  <c r="O11" i="17" s="1"/>
  <c r="P11" i="17" s="1"/>
  <c r="R11" i="17" s="1"/>
  <c r="O10" i="17" l="1"/>
  <c r="P10" i="17" s="1"/>
  <c r="R10" i="17" s="1"/>
  <c r="M20" i="12"/>
  <c r="M19" i="12"/>
  <c r="O19" i="12" s="1"/>
  <c r="M18" i="12"/>
  <c r="M17" i="12"/>
  <c r="M16" i="12"/>
  <c r="M15" i="12"/>
  <c r="O15" i="12" s="1"/>
  <c r="M14" i="12"/>
  <c r="M13" i="12"/>
  <c r="M12" i="12"/>
  <c r="O12" i="12" s="1"/>
  <c r="M11" i="12"/>
  <c r="M10" i="12"/>
  <c r="M9" i="12"/>
  <c r="M8" i="12"/>
  <c r="M7" i="12"/>
  <c r="M6" i="12"/>
  <c r="M5" i="12"/>
  <c r="M4" i="12"/>
  <c r="O13" i="12"/>
  <c r="M13" i="8"/>
  <c r="M12" i="8"/>
  <c r="M11" i="8"/>
  <c r="M10" i="8"/>
  <c r="M9" i="8"/>
  <c r="M8" i="8"/>
  <c r="M7" i="8"/>
  <c r="M6" i="8"/>
  <c r="M5" i="8"/>
  <c r="M4" i="8"/>
  <c r="M13" i="5"/>
  <c r="M14" i="5" l="1"/>
  <c r="M12" i="5"/>
  <c r="M11" i="5"/>
  <c r="M10" i="5"/>
  <c r="M8" i="5"/>
  <c r="M7" i="5"/>
  <c r="M4" i="5"/>
  <c r="M9" i="5"/>
  <c r="M6" i="5"/>
  <c r="M5" i="5"/>
  <c r="L5" i="17"/>
  <c r="L6" i="17"/>
  <c r="L8" i="17"/>
  <c r="L9" i="17"/>
  <c r="L12" i="17"/>
  <c r="M5" i="17"/>
  <c r="M6" i="17"/>
  <c r="M7" i="17"/>
  <c r="N7" i="17" s="1"/>
  <c r="O7" i="17" s="1"/>
  <c r="M8" i="17"/>
  <c r="M9" i="17"/>
  <c r="M4" i="17"/>
  <c r="N8" i="17" l="1"/>
  <c r="O8" i="17" s="1"/>
  <c r="P8" i="17" s="1"/>
  <c r="R8" i="17" s="1"/>
  <c r="N4" i="17"/>
  <c r="O4" i="17" s="1"/>
  <c r="N5" i="17"/>
  <c r="O5" i="17" s="1"/>
  <c r="R5" i="17" s="1"/>
  <c r="N6" i="17"/>
  <c r="O6" i="17" s="1"/>
  <c r="P6" i="17" s="1"/>
  <c r="R6" i="17" s="1"/>
  <c r="N12" i="17"/>
  <c r="N9" i="17"/>
  <c r="P7" i="17" l="1"/>
  <c r="R7" i="17" s="1"/>
  <c r="O9" i="17"/>
  <c r="P9" i="17" s="1"/>
  <c r="R9" i="17" s="1"/>
  <c r="O12" i="17"/>
  <c r="P12" i="17" s="1"/>
  <c r="R12" i="17" s="1"/>
  <c r="P4" i="17"/>
  <c r="R4" i="17" s="1"/>
  <c r="O5" i="8"/>
  <c r="O6" i="8"/>
  <c r="O7" i="8"/>
  <c r="O8" i="8"/>
  <c r="O9" i="8"/>
  <c r="O10" i="8"/>
  <c r="O11" i="8"/>
  <c r="O12" i="8"/>
  <c r="O13" i="8"/>
  <c r="O13" i="5"/>
  <c r="O11" i="5"/>
  <c r="O10" i="5"/>
  <c r="O20" i="12"/>
  <c r="O18" i="12"/>
  <c r="O17" i="12"/>
  <c r="R13" i="17" l="1"/>
  <c r="O14" i="17"/>
  <c r="O6" i="5"/>
  <c r="O7" i="5"/>
  <c r="O8" i="5"/>
  <c r="O9" i="5"/>
  <c r="O12" i="5"/>
  <c r="O14" i="5"/>
  <c r="O4" i="12"/>
  <c r="O5" i="12"/>
  <c r="O6" i="12"/>
  <c r="O16" i="12"/>
  <c r="M16" i="5"/>
  <c r="R14" i="17" l="1"/>
  <c r="G10" i="15" s="1"/>
  <c r="H10" i="15" s="1"/>
  <c r="O4" i="8"/>
  <c r="O14" i="8" l="1"/>
  <c r="O15" i="8" s="1"/>
  <c r="G13" i="15" s="1"/>
  <c r="H13" i="15" s="1"/>
  <c r="O14" i="12"/>
  <c r="O11" i="12" l="1"/>
  <c r="M22" i="12" l="1"/>
  <c r="O10" i="12"/>
  <c r="O9" i="12"/>
  <c r="O8" i="12"/>
  <c r="O7" i="12"/>
  <c r="O21" i="12" l="1"/>
  <c r="O22" i="12" s="1"/>
  <c r="G11" i="15" s="1"/>
  <c r="H11" i="15" s="1"/>
  <c r="O4" i="5"/>
  <c r="O15" i="5" s="1"/>
  <c r="O16" i="5" s="1"/>
  <c r="G12" i="15" l="1"/>
  <c r="H1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Melina Antoniol Ribeiro</author>
  </authors>
  <commentList>
    <comment ref="L3" authorId="0" shapeId="0" xr:uid="{6A187C0B-DB28-4299-8D1F-924688A36223}">
      <text>
        <r>
          <rPr>
            <b/>
            <sz val="9"/>
            <color indexed="81"/>
            <rFont val="Segoe UI"/>
            <family val="2"/>
          </rPr>
          <t>quanto ficou o indicador no mês.
Ex.: se ficou dentro do esperado 0
se não, qual foi o peso que vc deu internamente?</t>
        </r>
      </text>
    </comment>
    <comment ref="H4" authorId="0" shapeId="0" xr:uid="{96954779-9397-473A-84DA-78A900D52C2C}">
      <text>
        <r>
          <rPr>
            <b/>
            <sz val="9"/>
            <color indexed="81"/>
            <rFont val="Segoe UI"/>
            <family val="2"/>
          </rPr>
          <t>O EPS é um indicador criado para avaliar a posição de solvência de cada plano em relação à faixa crítica entre o mínimo regulatório e o ideal de solvência (100%).
Ele mede o quanto o plano já avançou nesse intervalo — quanto maior o EPS, mais próximo o plano está do ideal. Quanto menor, mais perto ele está de exigir medidas corretivas.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Melina Antoniol Ribeiro</author>
  </authors>
  <commentList>
    <comment ref="L3" authorId="0" shapeId="0" xr:uid="{023298CB-F328-4128-94AE-A27913546C34}">
      <text>
        <r>
          <rPr>
            <b/>
            <sz val="9"/>
            <color indexed="81"/>
            <rFont val="Segoe UI"/>
            <family val="2"/>
          </rPr>
          <t xml:space="preserve">Dento da métrica em si. Ex.: o segundo fator de risco tem 3 métricas dividir o peso entre elas
</t>
        </r>
      </text>
    </comment>
    <comment ref="N3" authorId="0" shapeId="0" xr:uid="{11C9857E-69CC-40D7-AA54-47DCD0EA4CAD}">
      <text>
        <r>
          <rPr>
            <b/>
            <sz val="9"/>
            <color indexed="81"/>
            <rFont val="Segoe UI"/>
            <family val="2"/>
          </rPr>
          <t>quanto ficou o indicador no mês.
Ex.: se ficou dentro do esperado 0
se não, qual foi o peso que vc deu internamente?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Melina Antoniol Ribeiro</author>
  </authors>
  <commentList>
    <comment ref="L3" authorId="0" shapeId="0" xr:uid="{2C633E3C-3CE4-4B68-8F5C-E13CA8FC9CF2}">
      <text>
        <r>
          <rPr>
            <b/>
            <sz val="9"/>
            <color indexed="81"/>
            <rFont val="Segoe UI"/>
            <family val="2"/>
          </rPr>
          <t xml:space="preserve">Dento da métrica em si. Ex.: o segundo fator de risco tem 3 métricas dividir o peso entre elas
</t>
        </r>
      </text>
    </comment>
    <comment ref="N3" authorId="0" shapeId="0" xr:uid="{A53CEFCE-909A-4C9E-8B26-344B683A8601}">
      <text>
        <r>
          <rPr>
            <b/>
            <sz val="9"/>
            <color indexed="81"/>
            <rFont val="Segoe UI"/>
            <family val="2"/>
          </rPr>
          <t>quanto ficou o indicador no mês.
Ex.: se ficou dentro do esperado 0
se não, qual foi o peso que vc deu internamente?</t>
        </r>
      </text>
    </comment>
    <comment ref="I4" authorId="0" shapeId="0" xr:uid="{315AB770-3040-49DE-BD3F-A0A102E86E55}">
      <text>
        <r>
          <rPr>
            <b/>
            <sz val="9"/>
            <color indexed="81"/>
            <rFont val="Segoe UI"/>
            <family val="2"/>
          </rPr>
          <t>Serviços financeiros</t>
        </r>
      </text>
    </comment>
    <comment ref="C8" authorId="0" shapeId="0" xr:uid="{17264FC8-1B19-4A54-A30E-174D8DC3924D}">
      <text>
        <r>
          <rPr>
            <b/>
            <sz val="9"/>
            <color indexed="81"/>
            <rFont val="Segoe UI"/>
            <family val="2"/>
          </rPr>
          <t>https://support.knowbe4.com/hc/en-us/articles/360001358728-Virtual-Risk-Officer-and-Risk-Score-Guide</t>
        </r>
      </text>
    </comment>
    <comment ref="C13" authorId="0" shapeId="0" xr:uid="{8CA02B23-D388-4D36-B364-09F784F40B1B}">
      <text>
        <r>
          <rPr>
            <b/>
            <sz val="9"/>
            <color indexed="81"/>
            <rFont val="Segoe UI"/>
            <family val="2"/>
          </rPr>
          <t>(Tendência de um sistema a ter falhas ou erros)</t>
        </r>
      </text>
    </comment>
    <comment ref="C14" authorId="0" shapeId="0" xr:uid="{810F1EF9-F735-41B1-A490-315CECABA87A}">
      <text>
        <r>
          <rPr>
            <b/>
            <sz val="9"/>
            <color indexed="81"/>
            <rFont val="Segoe UI"/>
            <family val="2"/>
          </rPr>
          <t>(Capacidade de um sistema, recurso ou serviço estar operacional e acessível quando necessário.)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Melina Antoniol Ribeiro</author>
  </authors>
  <commentList>
    <comment ref="N3" authorId="0" shapeId="0" xr:uid="{787D61B3-9616-4AB2-AB96-68E98D208252}">
      <text>
        <r>
          <rPr>
            <b/>
            <sz val="9"/>
            <color indexed="81"/>
            <rFont val="Segoe UI"/>
            <family val="2"/>
          </rPr>
          <t>quanto ficou o indicador no mês.
Ex.: se ficou dentro do esperado 0
se não, qual foi o peso que vc deu internamente?</t>
        </r>
      </text>
    </comment>
    <comment ref="I11" authorId="0" shapeId="0" xr:uid="{8D8550E5-EF1A-4E45-9D59-B721007289DD}">
      <text>
        <r>
          <rPr>
            <b/>
            <sz val="9"/>
            <color indexed="81"/>
            <rFont val="Segoe UI"/>
            <family val="2"/>
          </rPr>
          <t>Muller; Consultoria de remuneração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3" authorId="0" shapeId="0" xr:uid="{29CD7241-DC44-4FE6-88D1-FA98DDFE9DB0}">
      <text>
        <r>
          <rPr>
            <b/>
            <sz val="9"/>
            <color indexed="81"/>
            <rFont val="Segoe UI"/>
            <family val="2"/>
          </rPr>
          <t>Conforme e-mail da executiva Tatiana Gomes a meta foi alterada em julho pelo CD de 62 para 66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P13" authorId="0" shapeId="0" xr:uid="{D168277B-D710-4EC1-A859-8B92BDB47CED}">
      <text>
        <r>
          <rPr>
            <b/>
            <sz val="9"/>
            <color indexed="81"/>
            <rFont val="Segoe UI"/>
            <family val="2"/>
          </rPr>
          <t>Acumulado jan a dez</t>
        </r>
      </text>
    </comment>
  </commentList>
</comments>
</file>

<file path=xl/sharedStrings.xml><?xml version="1.0" encoding="utf-8"?>
<sst xmlns="http://schemas.openxmlformats.org/spreadsheetml/2006/main" count="527" uniqueCount="249">
  <si>
    <t>Fator de Risco</t>
  </si>
  <si>
    <t>Métrica</t>
  </si>
  <si>
    <t>Peso (0 a 1) Métrica</t>
  </si>
  <si>
    <t>Peso (0 a 1) Indicador</t>
  </si>
  <si>
    <t>KRI</t>
  </si>
  <si>
    <t>Nota Final</t>
  </si>
  <si>
    <t>Resultado mês</t>
  </si>
  <si>
    <t>Comentário</t>
  </si>
  <si>
    <t>Responsável</t>
  </si>
  <si>
    <t>GTI</t>
  </si>
  <si>
    <t>Memória de Cálculo</t>
  </si>
  <si>
    <t xml:space="preserve">Não modernizar arquitetura tecnológica </t>
  </si>
  <si>
    <t>Pilares Estratégicos</t>
  </si>
  <si>
    <t>Métrica (KRI)</t>
  </si>
  <si>
    <t>Frequência de atualização</t>
  </si>
  <si>
    <t>mensal</t>
  </si>
  <si>
    <t>Propensão ao phishing</t>
  </si>
  <si>
    <t>Baixa conscientização sobre segurança cibernética</t>
  </si>
  <si>
    <t>Falta de acompanhamento tempestivo para as mudanças regulatórias</t>
  </si>
  <si>
    <t>Verde</t>
  </si>
  <si>
    <t>Fragilidade na Gestão de Riscos operacionais</t>
  </si>
  <si>
    <t>Amarelo</t>
  </si>
  <si>
    <t>70 a 99,9</t>
  </si>
  <si>
    <t>&lt; 70</t>
  </si>
  <si>
    <t>Falta de programa para a retenção de talentos</t>
  </si>
  <si>
    <t>Mensal</t>
  </si>
  <si>
    <t xml:space="preserve">Monitoramento diário das publicações no DOU </t>
  </si>
  <si>
    <t>Monitoramento diário das publicações no DOU e do ambiente de projetos de lei voltados EFPC</t>
  </si>
  <si>
    <t xml:space="preserve">Falta de aderência do plano de continuidade do negócio </t>
  </si>
  <si>
    <t>Falta de acompanhamento das soluções em consultas públicas emitidas pela RFB</t>
  </si>
  <si>
    <t xml:space="preserve">Falta de transparência sobre mudanças na governança  </t>
  </si>
  <si>
    <t xml:space="preserve">Conflito de interesses
</t>
  </si>
  <si>
    <t>Fragilidade da qualidade no relacionamento com os participantes</t>
  </si>
  <si>
    <t>Risco virtual abaixo de 40%</t>
  </si>
  <si>
    <t>mínimo de 95% das resoluções de vulnerabilidades identificadas e resolvidas</t>
  </si>
  <si>
    <t>Mínimo de 95% das resoluções dos incidentes identificados e resolvidos</t>
  </si>
  <si>
    <t>Ameaçãs de malware resolvidas</t>
  </si>
  <si>
    <t>Polaridade</t>
  </si>
  <si>
    <t>quanto maior melhor</t>
  </si>
  <si>
    <t>quanto menor melhor</t>
  </si>
  <si>
    <t>N/A</t>
  </si>
  <si>
    <t>Quanto maior melhor</t>
  </si>
  <si>
    <t>polaridade</t>
  </si>
  <si>
    <t>Ausência de avaliação dos colegiados</t>
  </si>
  <si>
    <t>Desconformidade das vigências dos normativos</t>
  </si>
  <si>
    <t>PPSP-R</t>
  </si>
  <si>
    <t>PPSP-NR</t>
  </si>
  <si>
    <t>PPSP-NR Pré-70</t>
  </si>
  <si>
    <t>PPSP-R Pré-70</t>
  </si>
  <si>
    <t>Arlanxeo</t>
  </si>
  <si>
    <t>Nitriflex</t>
  </si>
  <si>
    <t>Ultrafértil</t>
  </si>
  <si>
    <t>PP2</t>
  </si>
  <si>
    <t>Sanasa</t>
  </si>
  <si>
    <t>Plano</t>
  </si>
  <si>
    <t>retorno para não equacionar</t>
  </si>
  <si>
    <t>formatação para o mensal</t>
  </si>
  <si>
    <t>RISCOS ESTRATÉGICOS</t>
  </si>
  <si>
    <t>1. DESEQUILÍBRIO ATUARIAL</t>
  </si>
  <si>
    <t>META</t>
  </si>
  <si>
    <r>
      <t xml:space="preserve">FAROL
</t>
    </r>
    <r>
      <rPr>
        <sz val="8"/>
        <color theme="1"/>
        <rFont val="Calibri"/>
        <family val="2"/>
        <scheme val="minor"/>
      </rPr>
      <t>(mês vigente)</t>
    </r>
  </si>
  <si>
    <t>Maior ou igual a meta</t>
  </si>
  <si>
    <t xml:space="preserve">       Legenda:</t>
  </si>
  <si>
    <t>Resolução de Vulnerabilidades identificadas através de Pentest</t>
  </si>
  <si>
    <t>Meta</t>
  </si>
  <si>
    <t>Mínimo de 95%</t>
  </si>
  <si>
    <t>100% das ameaças resolvidas em resolvidos em 1 hora</t>
  </si>
  <si>
    <t>Em dezembro teve a saída da GTI profissional que era dedicado a atividade de operação de segurança, no momento estamos em processo de seleção e as atividades distribuídas com os demais membros da equipe de Infra.</t>
  </si>
  <si>
    <t>Total de 8 tickets sendo 5 falsos positivos. Sendo 4 tickets resolvidos em até uma hora. A ausencia do profissional dedicado impacta diretamente nesse indicador em função do SLA de 1h.</t>
  </si>
  <si>
    <t>Resultado</t>
  </si>
  <si>
    <t>JUSTIFICATIVA - RISCO CIBERNÉTICO</t>
  </si>
  <si>
    <t>Foi criado, pela GTI, um projeto  para tratar as vulnerabilidades com o acompanhamento de um GP e report semanal para Gerencia Executiva. Definido que será iniciado pelos de severidade ALTA. 
O objetivo é trazer transparencia para as tratativas e poder priorizar alocação de recursos mediante outros projetos da Petros.</t>
  </si>
  <si>
    <r>
      <t xml:space="preserve">Ameaças de </t>
    </r>
    <r>
      <rPr>
        <i/>
        <sz val="10"/>
        <rFont val="Calibri"/>
        <family val="2"/>
        <scheme val="minor"/>
      </rPr>
      <t xml:space="preserve">malware </t>
    </r>
    <r>
      <rPr>
        <sz val="10"/>
        <rFont val="Calibri"/>
        <family val="2"/>
        <scheme val="minor"/>
      </rPr>
      <t>(</t>
    </r>
    <r>
      <rPr>
        <i/>
        <sz val="10"/>
        <rFont val="Calibri"/>
        <family val="2"/>
        <scheme val="minor"/>
      </rPr>
      <t>ransomware, spyware, worms, backdoor e trojan</t>
    </r>
    <r>
      <rPr>
        <sz val="10"/>
        <rFont val="Calibri"/>
        <family val="2"/>
        <scheme val="minor"/>
      </rPr>
      <t>)</t>
    </r>
  </si>
  <si>
    <r>
      <t xml:space="preserve">Resolução de incidentes do </t>
    </r>
    <r>
      <rPr>
        <i/>
        <sz val="10"/>
        <rFont val="Calibri"/>
        <family val="2"/>
        <scheme val="minor"/>
      </rPr>
      <t>Security Operation Center</t>
    </r>
  </si>
  <si>
    <t xml:space="preserve">GRC/CI </t>
  </si>
  <si>
    <t>Risco</t>
  </si>
  <si>
    <t>Legal e Regulatório</t>
  </si>
  <si>
    <t>Governança</t>
  </si>
  <si>
    <t>Cibernético</t>
  </si>
  <si>
    <t>2. LEGAL, REGULATÓRIO E GOVERNANÇA</t>
  </si>
  <si>
    <t>FAROL - INDICADORES RISCO ESTRATÉGICO 2025</t>
  </si>
  <si>
    <t>Participante no centro da gestão</t>
  </si>
  <si>
    <t>Insolvência PPSP-R</t>
  </si>
  <si>
    <t>InsolvênciaPPSP-NR</t>
  </si>
  <si>
    <t>Insolvência PPSP-R 70</t>
  </si>
  <si>
    <t>Insolvência ARLANXEO</t>
  </si>
  <si>
    <t>Insolvência NITRIFLEX</t>
  </si>
  <si>
    <t>Insolvência ULTRAFÉRTIL</t>
  </si>
  <si>
    <t>Insolvência PP2 BD</t>
  </si>
  <si>
    <t>Insolvência SANASA</t>
  </si>
  <si>
    <t>Instabilidade dos sistemas legados</t>
  </si>
  <si>
    <t>Preparação do Solo</t>
  </si>
  <si>
    <t>Cultura de Perenidade</t>
  </si>
  <si>
    <t>Participante no Centro da Gestão</t>
  </si>
  <si>
    <t>GRH</t>
  </si>
  <si>
    <t>GRC/GR</t>
  </si>
  <si>
    <t>GRC/PP</t>
  </si>
  <si>
    <t>Resoluções de vulnerabilidades identificadas e resolvidas</t>
  </si>
  <si>
    <t>Resoluções dos incidentes identificados e resolvidos</t>
  </si>
  <si>
    <t>Quanto menor melhor</t>
  </si>
  <si>
    <t>Não estar aderente ao Microsoft security Score</t>
  </si>
  <si>
    <t>Ameaças de malware (ransomware, spyware, worms, backdoor e trojan) não resolvidas</t>
  </si>
  <si>
    <t xml:space="preserve">Alto nível de risco virtual da organização </t>
  </si>
  <si>
    <t>Ausência de resolução de incidentes do Security Operation Center - SOC</t>
  </si>
  <si>
    <t>Ausência de resolução de vulnerabilidades identificadas através de Pentest</t>
  </si>
  <si>
    <t>Métrica 2025</t>
  </si>
  <si>
    <t>Falta de programa para a atração de talentos</t>
  </si>
  <si>
    <t xml:space="preserve">GRC/CP </t>
  </si>
  <si>
    <t xml:space="preserve">GRC/GP </t>
  </si>
  <si>
    <t xml:space="preserve">COM </t>
  </si>
  <si>
    <t>PRES/PD</t>
  </si>
  <si>
    <t xml:space="preserve">SE </t>
  </si>
  <si>
    <t>Preparação do Solo e Cultura de Perenidade</t>
  </si>
  <si>
    <t>Percentual de normativos (políticas, normas, procedimentos e instruções de trabalho) dentro do prazo de vigência</t>
  </si>
  <si>
    <t>Manter as certificações chaves da Petros (Stewardship, GPTW, Fitch ratings, PRI, Autorregulaçao em governança corporativa, pró-equidade de gênero e raça, Quality Assessment, ISO 31000)</t>
  </si>
  <si>
    <t>Insolvência PPSP-NR 70</t>
  </si>
  <si>
    <t>Percentual de Denúncias admitidas investigadas, recebidas pelo Canal de Denúncias, relacionadas a fraude e corrupção.</t>
  </si>
  <si>
    <t>trimestral</t>
  </si>
  <si>
    <t>Taxa de turnover voluntário mensal</t>
  </si>
  <si>
    <t>Índice de Favorabilidade na GPTW </t>
  </si>
  <si>
    <t>Anual</t>
  </si>
  <si>
    <t>Índice de promoção interna</t>
  </si>
  <si>
    <t>Índice de Riscos identificados vs riscos mitigados</t>
  </si>
  <si>
    <t>Taxa de conformidade com Controles Internos</t>
  </si>
  <si>
    <t>Indice da qualidade da operação do atendimento (monitoria)</t>
  </si>
  <si>
    <t>NPS do atendimento ao participante (presencial e virtual)</t>
  </si>
  <si>
    <t>Memória de cálculo: Relatório extraído do Knowbe4 
Meta: abaixo de 40%</t>
  </si>
  <si>
    <t>Memória de cálculo: Relatório enviado pelo fornecedor
meta: 100% das ameaças resolvidas em resolvidos em 1 hora</t>
  </si>
  <si>
    <t>Memória de cálculo : Relatório extraído do Teneable 
Meta: inferior 370</t>
  </si>
  <si>
    <t>Score retirado da solução Microsoft Defender</t>
  </si>
  <si>
    <t>Taxa de presença dos membros independentes nas reuniões do COMRI</t>
  </si>
  <si>
    <t>Taxa de presença dos membros independentes nas reuniões do COMIN</t>
  </si>
  <si>
    <t>Avaliação anual dos colegiados (DE, COMIN, COMRI, COMLIQ e COMILI)</t>
  </si>
  <si>
    <t xml:space="preserve"> Anual</t>
  </si>
  <si>
    <t>sempre que houver as mudanças indicadas</t>
  </si>
  <si>
    <t>Score retirado da solução Tenable</t>
  </si>
  <si>
    <t>Percentual de comunicação relativa às atualizações de Governança</t>
  </si>
  <si>
    <t>Anual (outubro)</t>
  </si>
  <si>
    <t xml:space="preserve">Resultados das Campanhas de simulações de Phishing </t>
  </si>
  <si>
    <t xml:space="preserve"> Memória de Cálculo: Relatório extraído do Microsoft Defender
Meta: 80%</t>
  </si>
  <si>
    <t>Não renovação das certificações chaves da Petros</t>
  </si>
  <si>
    <t>Percentual de conscientização dos empregados em segurança cibernética</t>
  </si>
  <si>
    <t>Percentual de ameaças de malware resolvidas</t>
  </si>
  <si>
    <t>Memória de Cálculo e Meta</t>
  </si>
  <si>
    <t>Resultado/Comentário</t>
  </si>
  <si>
    <t>3. CIBERNÉTICO  E TECNOLOGIA</t>
  </si>
  <si>
    <t>4. INEFICIÊNCIA OPERACIONAL</t>
  </si>
  <si>
    <t>Taxa de presença dos membros independentes nas reuniões do COAUD</t>
  </si>
  <si>
    <t>Taxa de presença dos membros independentes nas reuniões do COSEG</t>
  </si>
  <si>
    <t>Avaliação anual dos colegiados (CD, COAUD e COSEG)</t>
  </si>
  <si>
    <t xml:space="preserve">OUV </t>
  </si>
  <si>
    <t>Roadmap do projeto “Modernização de Sistemas“ escopo do Programa “Maturidade Tecnológica” (PE)</t>
  </si>
  <si>
    <t>Trimestral</t>
  </si>
  <si>
    <t>Percentual de erros reportados no GNP/SIB frente ao total de CSPs</t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</si>
  <si>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(Qtd de CSPs de erros reportados no GNP/SIB) / (Total de CSPs), 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Percentual de ocorrência menor que o percentual da última medição</t>
    </r>
  </si>
  <si>
    <t>Disponibilidade da infraestrutura física dos ambientes</t>
  </si>
  <si>
    <t>Indisponibilidade dos sistemas considerados críticos</t>
  </si>
  <si>
    <r>
      <rPr>
        <b/>
        <sz val="10"/>
        <rFont val="Calibri"/>
        <family val="2"/>
        <scheme val="minor"/>
      </rPr>
      <t>Memória de cáculo:</t>
    </r>
    <r>
      <rPr>
        <sz val="10"/>
        <rFont val="Calibri"/>
        <family val="2"/>
        <scheme val="minor"/>
      </rPr>
      <t xml:space="preserve"> Manutenção da Disponibilidade 
dos serviços de REDE(Excetuando-se Manutenções Programadas) --&gt; Banco de Dados Oracle e SQL e  DB2, Sistemas Internos (Navegador) + VPN + Serviços de Internet local.
</t>
    </r>
    <r>
      <rPr>
        <b/>
        <sz val="10"/>
        <rFont val="Calibri"/>
        <family val="2"/>
        <scheme val="minor"/>
      </rPr>
      <t xml:space="preserve"> Meta: </t>
    </r>
    <r>
      <rPr>
        <sz val="10"/>
        <rFont val="Calibri"/>
        <family val="2"/>
        <scheme val="minor"/>
      </rPr>
      <t xml:space="preserve"> 95% de disponibilidade</t>
    </r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</si>
  <si>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publicações divulgadas internamente/ publicações divulgadas externamente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 - janela de até 2 dias úteis</t>
    </r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</si>
  <si>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informações relevantes divulgadas para as àreas da Petros/informações relevantes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 - janela de até 2 dias úteis 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</si>
  <si>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normativos vigentes/total de normativos 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80%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</si>
  <si>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número de membros independentes nas reuniões no mês/ número de reuniões no mês x100 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 xml:space="preserve">Participação de pelo menos 2 dos 3 membros independentes nas reuniões mensais (66%)
</t>
    </r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</si>
  <si>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número de membros independentes nas reuniões no mês/ número de reuniões no mês x100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Participação de pelo menos 2 dos 3 membros independentes nas reuniões mensais (66%)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</si>
  <si>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número de membros independentes nas reuniões no mês/ número de reuniões no mês x100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Participação de pelo menos 2 dos 3 membros independentes nas reuniões mensais (66%)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</si>
  <si>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Denúncias sobre Fraude e Corrupção Admitidas / Denúncias Apuradas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</t>
    </r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</si>
  <si>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Acompanhar e informar à Gerência Executiva de Comunicação Corporativa as mudanças na governança 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</si>
  <si>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número de colegiados avaliados/número de colegiados existentes x 100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</si>
  <si>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Quantidade de selos mantidos/quantidade de selos total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</t>
    </r>
  </si>
  <si>
    <r>
      <rPr>
        <b/>
        <sz val="10"/>
        <rFont val="Calibri"/>
        <family val="2"/>
        <scheme val="minor"/>
      </rPr>
      <t>Memória de cálculo</t>
    </r>
    <r>
      <rPr>
        <sz val="10"/>
        <rFont val="Calibri"/>
        <family val="2"/>
        <scheme val="minor"/>
      </rPr>
      <t xml:space="preserve">: Demandas respondidas/demandas recebidas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90% 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</si>
  <si>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Relatório de phishing extraído do Knowbe4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Inferior a 30,9%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</si>
  <si>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Número de incidentes resolvidos/Total d
e incidentes identificados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mínimo de 95%</t>
    </r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</si>
  <si>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Número de vulnerabiliades resolvidas/Total de vulnerabilidade Descobertas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mínimo de 95%</t>
    </r>
  </si>
  <si>
    <r>
      <rPr>
        <b/>
        <sz val="10"/>
        <rFont val="Calibri"/>
        <family val="2"/>
        <scheme val="minor"/>
      </rPr>
      <t>Memória de cálculo</t>
    </r>
    <r>
      <rPr>
        <sz val="10"/>
        <rFont val="Calibri"/>
        <family val="2"/>
        <scheme val="minor"/>
      </rPr>
      <t xml:space="preserve">: Relatório extraído do Knowbe4 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acima de 67,9%</t>
    </r>
  </si>
  <si>
    <r>
      <rPr>
        <b/>
        <sz val="10"/>
        <rFont val="Calibri"/>
        <family val="2"/>
        <scheme val="minor"/>
      </rPr>
      <t>Memória calculo:</t>
    </r>
    <r>
      <rPr>
        <sz val="10"/>
        <rFont val="Calibri"/>
        <family val="2"/>
        <scheme val="minor"/>
      </rPr>
      <t xml:space="preserve"> Mapeamento de riscos operacionais, com a identificação de controles e planos de ação necessários.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 dos planos de ação identificados como necessários (controles inexistentes, inadequados ou com  oportunidades de melhorias)  mapeados na ferramenta Perinity</t>
    </r>
  </si>
  <si>
    <r>
      <rPr>
        <b/>
        <sz val="10"/>
        <rFont val="Calibri"/>
        <family val="2"/>
        <scheme val="minor"/>
      </rPr>
      <t xml:space="preserve">Memória de calculo: </t>
    </r>
    <r>
      <rPr>
        <sz val="10"/>
        <rFont val="Calibri"/>
        <family val="2"/>
        <scheme val="minor"/>
      </rPr>
      <t xml:space="preserve">Realização de testes de eficiência e eficácia operacional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 dos controles internos avaliados, com registro dos resultados na ferramenta Perinity</t>
    </r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</si>
  <si>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A média geral é calculada com base na % de respostas favoráveis: “Na maioria das vezes é verdade” e “Sempre é verdade”.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>70%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</si>
  <si>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% de empregados contemplados no ciclo de mérito e promoção.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>maior ou igual ao ano anterior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</si>
  <si>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Painel contendo a análise Comparativa apresentado pela consultoria (Abrapp carreira muller)
Salário Base e Total em Dinheiro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>100%</t>
    </r>
  </si>
  <si>
    <r>
      <rPr>
        <b/>
        <sz val="10"/>
        <rFont val="Calibri"/>
        <family val="2"/>
        <scheme val="minor"/>
      </rPr>
      <t>Memória de cálculo</t>
    </r>
    <r>
      <rPr>
        <sz val="10"/>
        <rFont val="Calibri"/>
        <family val="2"/>
        <scheme val="minor"/>
      </rPr>
      <t xml:space="preserve">: O formulário de monitoria é dividido em 5 blocos temáticos: abertura, conhecimento técnico, comunicação, condução e encerramento. Cada bloco representa 20% da nota total e contém itens que avaliam os objetivos específicos do atendimento.
A nota do operador é a média dos blocos, e a nota final é a média das avaliações de todos os operadores.
</t>
    </r>
    <r>
      <rPr>
        <b/>
        <sz val="10"/>
        <rFont val="Calibri"/>
        <family val="2"/>
        <scheme val="minor"/>
      </rPr>
      <t xml:space="preserve">
Meta</t>
    </r>
    <r>
      <rPr>
        <sz val="10"/>
        <rFont val="Calibri"/>
        <family val="2"/>
        <scheme val="minor"/>
      </rPr>
      <t>: Média de 85 pontos de acordo com o contrato com a EPS e práticas de mercado</t>
    </r>
  </si>
  <si>
    <t>Muda todo mês</t>
  </si>
  <si>
    <t>Distância Regulatória
(C) = 100% - B</t>
  </si>
  <si>
    <t>índice de Solvência (A)</t>
  </si>
  <si>
    <t>Distância Atual
(D) = A - B</t>
  </si>
  <si>
    <t>Escala de Solvência 
(E) = D / C</t>
  </si>
  <si>
    <t>EPS (KRI)</t>
  </si>
  <si>
    <t>Escala</t>
  </si>
  <si>
    <t>ESP</t>
  </si>
  <si>
    <t>Base para o KRI</t>
  </si>
  <si>
    <t>EPS – Escore Prudencial de Solvência</t>
  </si>
  <si>
    <t>Índice de Solvência -Limite para não Equacionar (B)</t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</si>
  <si>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 xml:space="preserve">demanda realizada/demanda prevista x 100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>Cumprimento de 100% do cronograma previsto para o mês (até conclusão).</t>
    </r>
  </si>
  <si>
    <t>Indisponibilidade de infraestrutura para os processos críticos</t>
  </si>
  <si>
    <t>Percentual de Publicação das Alterações de Membros da Diretoria Executiva, Conselhos e Comitês no Portal Petros</t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</si>
  <si>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Publicar em ‘Nossa Governança’ no Portal Petros (quando aplicável) as alterações informadas de membros da Diretoria Executiva, Conselhos e Comitês.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100%</t>
    </r>
  </si>
  <si>
    <t>Falta de tempestividade nas assinaturas das atas dos Órgãos estatutários</t>
  </si>
  <si>
    <r>
      <rPr>
        <b/>
        <sz val="10"/>
        <rFont val="Calibri"/>
        <family val="2"/>
        <scheme val="minor"/>
      </rPr>
      <t xml:space="preserve">Memória de Cálculo: </t>
    </r>
    <r>
      <rPr>
        <sz val="10"/>
        <rFont val="Calibri"/>
        <family val="2"/>
        <scheme val="minor"/>
      </rPr>
      <t>Cumprimento do cronograma estabelecido</t>
    </r>
    <r>
      <rPr>
        <b/>
        <sz val="10"/>
        <rFont val="Calibri"/>
        <family val="2"/>
        <scheme val="minor"/>
      </rPr>
      <t xml:space="preserve">
Meta:</t>
    </r>
    <r>
      <rPr>
        <sz val="10"/>
        <rFont val="Calibri"/>
        <family val="2"/>
        <scheme val="minor"/>
      </rPr>
      <t xml:space="preserve"> Avanço do Programa conforme report do Planejamento Estratégico</t>
    </r>
  </si>
  <si>
    <t>pentest é quando pagam uma pessoa de fora para tentar repetidas vezes invadir o sistema da petros (o risco consistiria em não conseguir resolver as vulnerabilidades encontradas por esse invasor)</t>
  </si>
  <si>
    <t>SOC é um sistema que concentra todos os "erros" que acontecem e que é monitorado por eles e redirecionado para a TI resolver. 
O risco consiste em não resolverem esses erros.</t>
  </si>
  <si>
    <t>nível de risco virtual: com base em treinamentos e campanhas de phishing, fazem um score individual para cada pessoa e a partir disso tiram uma média geral para a empresa</t>
  </si>
  <si>
    <t>todo clique em link indevido é um malware, e todos esses cliques viram um incidente de SOC, resultando no risco 3</t>
  </si>
  <si>
    <t>CES é uma taxa que o sistema cria, de acordo com a exposição da empresa</t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</si>
  <si>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data de assinatura-data da aprovação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 xml:space="preserve">2 dias úteis para assinatura, após a aprovação da ata pela DE em reunião posterior. </t>
    </r>
  </si>
  <si>
    <t>Percentual de sucesso nos testes do PCN </t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</si>
  <si>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Realização de simulado anual do PCN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Teste em 100% dos processos considerados críticos, com resolução de todos os problemas identificados</t>
    </r>
  </si>
  <si>
    <t>Resultado mês: 0 &lt; KRI &lt; 1, onde: 0 é bom e 1 é ruim</t>
  </si>
  <si>
    <t>Não aplicável</t>
  </si>
  <si>
    <t>Resumo do fator de risco</t>
  </si>
  <si>
    <t>KRI (automático)</t>
  </si>
  <si>
    <t>Ineficiência Operacional</t>
  </si>
  <si>
    <t>Tecnologia</t>
  </si>
  <si>
    <t>Desequilíbrio Atuarial</t>
  </si>
  <si>
    <t>Tempo média de assinatura das atas (DE)</t>
  </si>
  <si>
    <t>Tempo média de assinatura das atas (CD e CF)</t>
  </si>
  <si>
    <t>O EPS é um indicador criado para avaliar a posição de solvência de cada plano em relação à faixa crítica entre o mínimo regulatório e o ideal de solvência (100%).
Ele mede o quanto o plano já avançou nesse intervalo — quanto maior o EPS, mais próximo o plano está do ideal. Quanto menor, mais perto ele está de exigir medidas corretivas.</t>
  </si>
  <si>
    <r>
      <rPr>
        <b/>
        <sz val="10"/>
        <rFont val="Calibri"/>
        <family val="2"/>
        <scheme val="minor"/>
      </rPr>
      <t>memória de cálculo</t>
    </r>
    <r>
      <rPr>
        <sz val="10"/>
        <rFont val="Calibri"/>
        <family val="2"/>
        <scheme val="minor"/>
      </rPr>
      <t>:</t>
    </r>
    <r>
      <rPr>
        <b/>
        <sz val="10"/>
        <rFont val="Calibri"/>
        <family val="2"/>
        <scheme val="minor"/>
      </rPr>
      <t>Acumulado</t>
    </r>
    <r>
      <rPr>
        <sz val="10"/>
        <rFont val="Calibri"/>
        <family val="2"/>
        <scheme val="minor"/>
      </rPr>
      <t xml:space="preserve">: Qtd de admissão + qtd de desligamento voluntário / 2 / qtd média de empregados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13% ano</t>
    </r>
  </si>
  <si>
    <t>Mensal (acumulado)</t>
  </si>
  <si>
    <t>Memória de cálculo e Meta</t>
  </si>
  <si>
    <t xml:space="preserve">Percentual de demandas de imprensa respondidas </t>
  </si>
  <si>
    <t>Produção e divulgação de notícias sobre a Petros e os planos aos públicos de interesse via Portal Petros</t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</si>
  <si>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Divulgação de notícias sobre a Petros e o Planos no Portal da Petros, conforme estratégia definida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>160 publicações até 31/12/2025</t>
    </r>
  </si>
  <si>
    <t xml:space="preserve">Comunicação ineficiente
</t>
  </si>
  <si>
    <t>Justificativas</t>
  </si>
  <si>
    <t>Justificativa</t>
  </si>
  <si>
    <r>
      <t xml:space="preserve">
</t>
    </r>
    <r>
      <rPr>
        <b/>
        <sz val="10"/>
        <rFont val="Calibri"/>
        <family val="2"/>
        <scheme val="minor"/>
      </rPr>
      <t>Memória de cálulo:  (EPS)=</t>
    </r>
    <r>
      <rPr>
        <sz val="10"/>
        <rFont val="Calibri"/>
        <family val="2"/>
        <scheme val="minor"/>
      </rPr>
      <t xml:space="preserve">
-100: I.S. - Min.Reguulatório/100% - Min. Regulatório &lt;=50%
0: 50%  &lt;  I.S. - Min.Reguulatório/100% - Min. Regulatório &lt;=90%
100:  I.S. - Min.Reguulatório/100% - Min. Regulatório &gt; 90%
</t>
    </r>
    <r>
      <rPr>
        <b/>
        <sz val="10"/>
        <rFont val="Calibri"/>
        <family val="2"/>
        <scheme val="minor"/>
      </rPr>
      <t xml:space="preserve">Meta: </t>
    </r>
    <r>
      <rPr>
        <sz val="10"/>
        <rFont val="Calibri"/>
        <family val="2"/>
        <scheme val="minor"/>
      </rPr>
      <t>Estar com o índice de solvência igual ou superior a 90 % do intervalo entre o limite mínimo para não equacionar e 100%.</t>
    </r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</si>
  <si>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data de assinatura da ata &lt; data da reunião seguinte
</t>
    </r>
    <r>
      <rPr>
        <b/>
        <sz val="10"/>
        <rFont val="Calibri"/>
        <family val="2"/>
        <scheme val="minor"/>
      </rPr>
      <t>Meta:</t>
    </r>
    <r>
      <rPr>
        <sz val="10"/>
        <rFont val="Calibri"/>
        <family val="2"/>
        <scheme val="minor"/>
      </rPr>
      <t xml:space="preserve">  As atas das reuniões deverão ser aprovadas e assinadas até a próxima reunião (conforme regimento interno), ou seja, o tempo de assinatura deve ser menor ou igual ao intervalo entre reuniões.</t>
    </r>
  </si>
  <si>
    <t>GPP/RP</t>
  </si>
  <si>
    <t>Índice de competitividade salarial  dentre as EFPCs  (remuneração)</t>
  </si>
  <si>
    <r>
      <t xml:space="preserve">REAL
</t>
    </r>
    <r>
      <rPr>
        <sz val="8"/>
        <color theme="1"/>
        <rFont val="Calibri"/>
        <family val="2"/>
        <scheme val="minor"/>
      </rPr>
      <t>(mês anterior)</t>
    </r>
  </si>
  <si>
    <r>
      <t xml:space="preserve">REAL
</t>
    </r>
    <r>
      <rPr>
        <sz val="8"/>
        <color theme="1"/>
        <rFont val="Calibri"/>
        <family val="2"/>
        <scheme val="minor"/>
      </rPr>
      <t>(mês vigente*)</t>
    </r>
  </si>
  <si>
    <t>Peso indicador</t>
  </si>
  <si>
    <t>Abaixo da meta &lt; 70%</t>
  </si>
  <si>
    <t>Dentro do limite aceitável, mas abaixo da meta &gt;70% e &lt;90%</t>
  </si>
  <si>
    <t>Todos os colegiados foram avaliados.</t>
  </si>
  <si>
    <t>Disponibilização de 100% da infraestrutura do ambiente de PCN que atende aos processos críticos</t>
  </si>
  <si>
    <r>
      <rPr>
        <b/>
        <sz val="10"/>
        <rFont val="Calibri"/>
        <family val="2"/>
        <scheme val="minor"/>
      </rPr>
      <t>Memória de cálculo:</t>
    </r>
    <r>
      <rPr>
        <sz val="10"/>
        <rFont val="Calibri"/>
        <family val="2"/>
        <scheme val="minor"/>
      </rPr>
      <t xml:space="preserve"> Promotores – Detratores 
</t>
    </r>
    <r>
      <rPr>
        <b/>
        <sz val="10"/>
        <rFont val="Calibri"/>
        <family val="2"/>
        <scheme val="minor"/>
      </rPr>
      <t>Meta</t>
    </r>
    <r>
      <rPr>
        <sz val="10"/>
        <rFont val="Calibri"/>
        <family val="2"/>
        <scheme val="minor"/>
      </rPr>
      <t>: 66</t>
    </r>
  </si>
  <si>
    <t>Não estar aderente a taxa de exposição CCyber Exposure Score - CES</t>
  </si>
  <si>
    <t>1 (uma) denúncia classificada e apurada como fraude e corrupção</t>
  </si>
  <si>
    <t>Atividade ocorrendo dentro do prazo estabelecido</t>
  </si>
  <si>
    <t>segundo trimestre: 19,71%
terceiro trimestre: 15,89%
Quarto trimestre: 14,97%</t>
  </si>
  <si>
    <t xml:space="preserve">Reunião DE-2806, de 07/01/2026 - Aprovada em 14/01/2026 - Última assinada por diretor: 28/01/2026
Reunião DE-2807, de 12/01/2026, Aprovada em 04/02/2026 - Em assinatura
Reunião DE-2808, de 14/01/2026, Aprovada em 04/02/2026 - Em assinatura
Reunião DE-2809, de 22/01/2026, Aprovada em 04/02/2026 - Em assinatura
Reunião DE-2810, de 28/01/2026, Aprovada em 04/02/2026 - Em assinatura </t>
  </si>
  <si>
    <t>Em janeiro, não houve atualização.</t>
  </si>
  <si>
    <t>0,62% (acumulado ate janeiro)</t>
  </si>
  <si>
    <t xml:space="preserve">100% - atualização do Mandato de Luciano Maldonado no COSEG </t>
  </si>
  <si>
    <t>85%
Foram identificados problemas nos sistemas que estão em tratativa pela GTI. Emitimos um relatório com os resultados parciais para DIFT, com encaminhamento para COAUD. A nova data estabelecida como meta para finalização dos testes é 28/02/26</t>
  </si>
  <si>
    <t>100%- Todos os riscos atrelados aos processos foram mapeados
Para 2026 foram selecionados 18 processos para serem reavaliados a partir de abril/2026, vide slide 8 do arquivo anexo</t>
  </si>
  <si>
    <t>100%
Todos os controles foram avaliados
NT pautada nos Colegiados. Para 2026 foram selecionados 18 processos para serem reavaliados a partir de abril/2026. vide slide 8 do arquivo anexo</t>
  </si>
  <si>
    <t>*30/01/2026</t>
  </si>
  <si>
    <t>Ultrafertil saiu da zona vermelha (-100) para a amarela (0%)</t>
  </si>
  <si>
    <t>Ata CD 812, de 18/12/2025 
Data da Reunião Seguinte: 29/01/2026 (ordinária)
•	SLA de aprovação da minuta de Ata – 42 dias
•	SLA de Assinatura da ata: em processo de assinaturas.Atas Conselho Fiscal 
Seguem as informações do Conselho Fiscal: 
Ata CF-691, de 17/12/2025
Assinatura da Ata 27/01/2026
Data da Reunião Seguinte: 21/01/2026 (ordinária)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</si>
</sst>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9"/>
      <color indexed="81"/>
      <name val="Segoe UI"/>
      <family val="2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Aptos"/>
      <family val="2"/>
    </font>
    <font>
      <sz val="10"/>
      <color theme="9" tint="-0.49998474074526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sz val="10"/>
      <color rgb="FFEE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6827A"/>
        <bgColor indexed="64"/>
      </patternFill>
    </fill>
    <fill>
      <patternFill patternType="solid">
        <fgColor rgb="FF021832"/>
        <bgColor indexed="64"/>
      </patternFill>
    </fill>
    <fill>
      <patternFill patternType="solid">
        <fgColor rgb="FFF0F6F5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hair">
        <color theme="0" tint="-0.14999847407452621"/>
      </left>
      <right/>
      <top style="hair">
        <color theme="0" tint="-0.14999847407452621"/>
      </top>
      <bottom/>
      <diagonal/>
    </border>
    <border>
      <left/>
      <right style="hair">
        <color theme="0" tint="-0.14999847407452621"/>
      </right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/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/>
      <bottom/>
      <diagonal/>
    </border>
    <border>
      <left style="hair">
        <color theme="0" tint="-0.14999847407452621"/>
      </left>
      <right/>
      <top style="hair">
        <color theme="0" tint="-0.249977111117893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249977111117893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249977111117893"/>
      </top>
      <bottom style="hair">
        <color theme="0" tint="-0.14999847407452621"/>
      </bottom>
      <diagonal/>
    </border>
    <border>
      <left/>
      <right style="thin">
        <color theme="0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/>
      <top style="hair">
        <color theme="0" tint="-0.149998474074526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6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4" fillId="0" borderId="4" xfId="2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7" fillId="0" borderId="0" xfId="0" applyFont="1" applyAlignment="1">
      <alignment horizontal="center" vertical="center"/>
    </xf>
    <xf numFmtId="0" fontId="6" fillId="4" borderId="0" xfId="2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9" fontId="2" fillId="4" borderId="3" xfId="1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0" fontId="4" fillId="3" borderId="5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1" fontId="4" fillId="0" borderId="7" xfId="2" applyNumberFormat="1" applyFont="1" applyBorder="1" applyAlignment="1">
      <alignment horizontal="center" vertical="center" wrapText="1"/>
    </xf>
    <xf numFmtId="2" fontId="4" fillId="0" borderId="7" xfId="2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vertical="center" wrapText="1"/>
    </xf>
    <xf numFmtId="2" fontId="4" fillId="3" borderId="7" xfId="2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4" borderId="2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9" fontId="0" fillId="0" borderId="0" xfId="0" applyNumberForma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4" fillId="0" borderId="11" xfId="2" applyNumberFormat="1" applyFont="1" applyBorder="1" applyAlignment="1">
      <alignment horizontal="center" vertical="center" wrapText="1"/>
    </xf>
    <xf numFmtId="2" fontId="4" fillId="0" borderId="12" xfId="2" applyNumberFormat="1" applyFont="1" applyBorder="1" applyAlignment="1">
      <alignment horizontal="center" vertical="center" wrapText="1"/>
    </xf>
    <xf numFmtId="2" fontId="4" fillId="0" borderId="14" xfId="2" applyNumberFormat="1" applyFont="1" applyBorder="1" applyAlignment="1">
      <alignment horizontal="center" vertical="center" wrapText="1"/>
    </xf>
    <xf numFmtId="2" fontId="4" fillId="0" borderId="13" xfId="2" applyNumberFormat="1" applyFont="1" applyBorder="1" applyAlignment="1">
      <alignment horizontal="center" vertical="center" wrapText="1"/>
    </xf>
    <xf numFmtId="164" fontId="4" fillId="2" borderId="13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164" fontId="4" fillId="2" borderId="14" xfId="2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3" borderId="8" xfId="2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9" fontId="2" fillId="4" borderId="0" xfId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0" fontId="4" fillId="0" borderId="7" xfId="2" quotePrefix="1" applyFont="1" applyBorder="1" applyAlignment="1">
      <alignment horizontal="center" vertical="center" wrapText="1"/>
    </xf>
    <xf numFmtId="0" fontId="4" fillId="0" borderId="8" xfId="2" applyFont="1" applyBorder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" fontId="4" fillId="0" borderId="0" xfId="2" applyNumberFormat="1" applyFont="1" applyAlignment="1">
      <alignment horizontal="center" vertical="center" wrapText="1"/>
    </xf>
    <xf numFmtId="17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" fontId="18" fillId="6" borderId="0" xfId="0" applyNumberFormat="1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9" fontId="0" fillId="0" borderId="16" xfId="1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top"/>
    </xf>
    <xf numFmtId="9" fontId="0" fillId="0" borderId="0" xfId="1" applyFont="1" applyAlignment="1">
      <alignment vertical="center"/>
    </xf>
    <xf numFmtId="0" fontId="13" fillId="2" borderId="17" xfId="0" applyFont="1" applyFill="1" applyBorder="1" applyAlignment="1">
      <alignment horizontal="center" vertical="center"/>
    </xf>
    <xf numFmtId="0" fontId="4" fillId="0" borderId="17" xfId="2" applyFont="1" applyBorder="1" applyAlignment="1">
      <alignment vertical="center" wrapText="1"/>
    </xf>
    <xf numFmtId="0" fontId="4" fillId="0" borderId="17" xfId="2" applyFont="1" applyBorder="1" applyAlignment="1">
      <alignment horizontal="center" vertical="center" wrapText="1"/>
    </xf>
    <xf numFmtId="9" fontId="4" fillId="0" borderId="17" xfId="2" applyNumberFormat="1" applyFont="1" applyBorder="1" applyAlignment="1">
      <alignment horizontal="center" vertical="center" wrapText="1"/>
    </xf>
    <xf numFmtId="2" fontId="4" fillId="0" borderId="17" xfId="2" applyNumberFormat="1" applyFont="1" applyBorder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0" xfId="2" applyFont="1" applyFill="1" applyAlignment="1">
      <alignment vertical="center" wrapText="1"/>
    </xf>
    <xf numFmtId="164" fontId="4" fillId="3" borderId="0" xfId="2" applyNumberFormat="1" applyFont="1" applyFill="1" applyAlignment="1">
      <alignment horizontal="center" vertical="center" wrapText="1"/>
    </xf>
    <xf numFmtId="2" fontId="4" fillId="3" borderId="0" xfId="2" applyNumberFormat="1" applyFont="1" applyFill="1" applyAlignment="1">
      <alignment horizontal="center" vertical="center" wrapText="1"/>
    </xf>
    <xf numFmtId="0" fontId="4" fillId="2" borderId="0" xfId="2" applyFont="1" applyFill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7" xfId="2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4" fillId="0" borderId="8" xfId="2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8" fillId="0" borderId="0" xfId="2" applyFont="1" applyAlignment="1">
      <alignment horizontal="center" vertical="center" wrapText="1"/>
    </xf>
    <xf numFmtId="9" fontId="4" fillId="3" borderId="7" xfId="1" applyFont="1" applyFill="1" applyBorder="1" applyAlignment="1">
      <alignment horizontal="center" vertical="center" wrapText="1"/>
    </xf>
    <xf numFmtId="10" fontId="4" fillId="3" borderId="5" xfId="1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10" fontId="4" fillId="3" borderId="7" xfId="1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vertical="center"/>
    </xf>
    <xf numFmtId="0" fontId="4" fillId="0" borderId="8" xfId="2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20" xfId="0" applyBorder="1" applyAlignment="1">
      <alignment vertical="center"/>
    </xf>
    <xf numFmtId="1" fontId="4" fillId="0" borderId="14" xfId="2" applyNumberFormat="1" applyFont="1" applyBorder="1" applyAlignment="1">
      <alignment horizontal="center" vertical="center" wrapText="1"/>
    </xf>
    <xf numFmtId="0" fontId="4" fillId="0" borderId="20" xfId="2" applyFont="1" applyBorder="1" applyAlignment="1">
      <alignment horizontal="left" vertical="center" wrapText="1"/>
    </xf>
    <xf numFmtId="2" fontId="14" fillId="0" borderId="7" xfId="2" applyNumberFormat="1" applyFont="1" applyBorder="1" applyAlignment="1">
      <alignment horizontal="center" vertical="center" wrapText="1"/>
    </xf>
    <xf numFmtId="10" fontId="27" fillId="0" borderId="0" xfId="1" applyNumberFormat="1" applyFont="1" applyAlignment="1">
      <alignment vertical="center"/>
    </xf>
    <xf numFmtId="0" fontId="7" fillId="0" borderId="0" xfId="0" applyFont="1" applyAlignment="1">
      <alignment horizontal="center"/>
    </xf>
    <xf numFmtId="10" fontId="4" fillId="0" borderId="7" xfId="1" applyNumberFormat="1" applyFont="1" applyBorder="1" applyAlignment="1">
      <alignment horizontal="center" vertical="center" wrapText="1"/>
    </xf>
    <xf numFmtId="2" fontId="29" fillId="3" borderId="7" xfId="2" applyNumberFormat="1" applyFont="1" applyFill="1" applyBorder="1" applyAlignment="1">
      <alignment horizontal="center" vertical="center" wrapText="1"/>
    </xf>
    <xf numFmtId="2" fontId="29" fillId="3" borderId="8" xfId="2" applyNumberFormat="1" applyFont="1" applyFill="1" applyBorder="1" applyAlignment="1">
      <alignment vertical="center" wrapText="1"/>
    </xf>
    <xf numFmtId="2" fontId="29" fillId="3" borderId="9" xfId="2" applyNumberFormat="1" applyFont="1" applyFill="1" applyBorder="1" applyAlignment="1">
      <alignment vertical="center" wrapText="1"/>
    </xf>
    <xf numFmtId="2" fontId="29" fillId="0" borderId="7" xfId="2" applyNumberFormat="1" applyFont="1" applyBorder="1" applyAlignment="1">
      <alignment horizontal="center" vertical="center" wrapText="1"/>
    </xf>
    <xf numFmtId="0" fontId="0" fillId="6" borderId="16" xfId="0" applyFill="1" applyBorder="1" applyAlignment="1">
      <alignment vertical="center"/>
    </xf>
    <xf numFmtId="9" fontId="0" fillId="6" borderId="16" xfId="1" applyFont="1" applyFill="1" applyBorder="1" applyAlignment="1">
      <alignment horizontal="center" vertical="center"/>
    </xf>
    <xf numFmtId="9" fontId="14" fillId="0" borderId="7" xfId="2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9" fontId="4" fillId="3" borderId="8" xfId="1" applyFont="1" applyFill="1" applyBorder="1" applyAlignment="1">
      <alignment horizontal="center" vertical="center" wrapText="1"/>
    </xf>
    <xf numFmtId="2" fontId="4" fillId="3" borderId="8" xfId="1" applyNumberFormat="1" applyFont="1" applyFill="1" applyBorder="1" applyAlignment="1">
      <alignment horizontal="center" vertical="center" wrapText="1"/>
    </xf>
    <xf numFmtId="9" fontId="4" fillId="3" borderId="0" xfId="1" applyFont="1" applyFill="1" applyAlignment="1">
      <alignment horizontal="center" vertical="center" wrapText="1"/>
    </xf>
    <xf numFmtId="9" fontId="30" fillId="6" borderId="16" xfId="0" applyNumberFormat="1" applyFont="1" applyFill="1" applyBorder="1" applyAlignment="1">
      <alignment horizontal="center" vertical="center"/>
    </xf>
    <xf numFmtId="9" fontId="30" fillId="3" borderId="16" xfId="0" applyNumberFormat="1" applyFont="1" applyFill="1" applyBorder="1" applyAlignment="1">
      <alignment horizontal="center" vertical="center"/>
    </xf>
    <xf numFmtId="2" fontId="14" fillId="2" borderId="7" xfId="2" applyNumberFormat="1" applyFont="1" applyFill="1" applyBorder="1" applyAlignment="1">
      <alignment horizontal="center" vertical="center" wrapText="1"/>
    </xf>
    <xf numFmtId="9" fontId="1" fillId="0" borderId="16" xfId="1" applyFont="1" applyBorder="1" applyAlignment="1">
      <alignment horizontal="center" vertical="center"/>
    </xf>
    <xf numFmtId="9" fontId="7" fillId="0" borderId="16" xfId="1" applyFont="1" applyBorder="1" applyAlignment="1">
      <alignment horizontal="center" vertical="center"/>
    </xf>
    <xf numFmtId="9" fontId="1" fillId="6" borderId="16" xfId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" fontId="14" fillId="0" borderId="7" xfId="2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/>
    </xf>
    <xf numFmtId="164" fontId="14" fillId="2" borderId="13" xfId="2" applyNumberFormat="1" applyFont="1" applyFill="1" applyBorder="1" applyAlignment="1">
      <alignment horizontal="center" vertical="center" wrapText="1"/>
    </xf>
    <xf numFmtId="165" fontId="8" fillId="0" borderId="7" xfId="1" applyNumberFormat="1" applyFont="1" applyBorder="1" applyAlignment="1">
      <alignment horizontal="center" vertical="center" wrapText="1"/>
    </xf>
    <xf numFmtId="164" fontId="14" fillId="2" borderId="14" xfId="2" applyNumberFormat="1" applyFont="1" applyFill="1" applyBorder="1" applyAlignment="1">
      <alignment horizontal="center" vertical="center" wrapText="1"/>
    </xf>
    <xf numFmtId="2" fontId="14" fillId="0" borderId="13" xfId="2" applyNumberFormat="1" applyFont="1" applyBorder="1" applyAlignment="1">
      <alignment horizontal="center" vertical="center" wrapText="1"/>
    </xf>
    <xf numFmtId="10" fontId="14" fillId="0" borderId="7" xfId="2" applyNumberFormat="1" applyFont="1" applyBorder="1" applyAlignment="1">
      <alignment horizontal="center" vertical="center" wrapText="1"/>
    </xf>
    <xf numFmtId="164" fontId="14" fillId="2" borderId="7" xfId="2" applyNumberFormat="1" applyFont="1" applyFill="1" applyBorder="1" applyAlignment="1">
      <alignment horizontal="center" vertical="center" wrapText="1"/>
    </xf>
    <xf numFmtId="165" fontId="14" fillId="0" borderId="7" xfId="1" applyNumberFormat="1" applyFont="1" applyBorder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/>
    </xf>
    <xf numFmtId="10" fontId="14" fillId="0" borderId="7" xfId="1" applyNumberFormat="1" applyFont="1" applyBorder="1" applyAlignment="1">
      <alignment horizontal="center" vertical="center" wrapText="1"/>
    </xf>
    <xf numFmtId="10" fontId="7" fillId="0" borderId="0" xfId="1" applyNumberFormat="1" applyFont="1" applyAlignment="1">
      <alignment horizontal="center" vertical="center"/>
    </xf>
    <xf numFmtId="9" fontId="7" fillId="6" borderId="16" xfId="1" applyFont="1" applyFill="1" applyBorder="1" applyAlignment="1">
      <alignment horizontal="center" vertical="center"/>
    </xf>
    <xf numFmtId="9" fontId="9" fillId="0" borderId="7" xfId="2" applyNumberFormat="1" applyFont="1" applyBorder="1" applyAlignment="1">
      <alignment horizontal="center" vertical="center" wrapText="1"/>
    </xf>
    <xf numFmtId="1" fontId="14" fillId="0" borderId="11" xfId="2" applyNumberFormat="1" applyFont="1" applyBorder="1" applyAlignment="1">
      <alignment horizontal="center" vertical="center" wrapText="1"/>
    </xf>
    <xf numFmtId="2" fontId="14" fillId="0" borderId="12" xfId="2" applyNumberFormat="1" applyFont="1" applyBorder="1" applyAlignment="1">
      <alignment horizontal="center" vertical="center" wrapText="1"/>
    </xf>
    <xf numFmtId="0" fontId="19" fillId="0" borderId="7" xfId="2" applyFont="1" applyBorder="1" applyAlignment="1">
      <alignment horizontal="center" vertical="center" wrapText="1"/>
    </xf>
    <xf numFmtId="0" fontId="32" fillId="0" borderId="7" xfId="2" applyFont="1" applyBorder="1" applyAlignment="1">
      <alignment horizontal="left" vertical="center" wrapText="1"/>
    </xf>
    <xf numFmtId="10" fontId="33" fillId="2" borderId="0" xfId="0" applyNumberFormat="1" applyFont="1" applyFill="1" applyAlignment="1">
      <alignment horizontal="center" vertical="center" wrapText="1"/>
    </xf>
    <xf numFmtId="2" fontId="8" fillId="3" borderId="0" xfId="2" applyNumberFormat="1" applyFont="1" applyFill="1" applyAlignment="1">
      <alignment horizontal="center" vertical="center" wrapText="1"/>
    </xf>
    <xf numFmtId="9" fontId="4" fillId="0" borderId="7" xfId="1" applyFont="1" applyBorder="1" applyAlignment="1">
      <alignment horizontal="center" vertical="center" wrapText="1"/>
    </xf>
    <xf numFmtId="9" fontId="14" fillId="0" borderId="7" xfId="1" applyFont="1" applyBorder="1" applyAlignment="1">
      <alignment horizontal="center" vertical="center" wrapText="1"/>
    </xf>
    <xf numFmtId="164" fontId="4" fillId="2" borderId="7" xfId="2" applyNumberFormat="1" applyFont="1" applyFill="1" applyBorder="1" applyAlignment="1">
      <alignment horizontal="center" vertical="center" wrapText="1"/>
    </xf>
    <xf numFmtId="2" fontId="4" fillId="2" borderId="7" xfId="2" applyNumberFormat="1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2" fontId="4" fillId="3" borderId="8" xfId="2" applyNumberFormat="1" applyFont="1" applyFill="1" applyBorder="1" applyAlignment="1">
      <alignment horizontal="center" vertical="center" wrapText="1"/>
    </xf>
    <xf numFmtId="2" fontId="4" fillId="3" borderId="9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8" xfId="2" applyFont="1" applyBorder="1" applyAlignment="1">
      <alignment horizontal="left" vertical="center" wrapText="1"/>
    </xf>
    <xf numFmtId="0" fontId="4" fillId="0" borderId="9" xfId="2" applyFont="1" applyBorder="1" applyAlignment="1">
      <alignment horizontal="left" vertical="center" wrapText="1"/>
    </xf>
    <xf numFmtId="9" fontId="4" fillId="0" borderId="8" xfId="1" applyFont="1" applyBorder="1" applyAlignment="1">
      <alignment horizontal="center" vertical="center" wrapText="1"/>
    </xf>
    <xf numFmtId="9" fontId="4" fillId="0" borderId="9" xfId="1" applyFont="1" applyBorder="1" applyAlignment="1">
      <alignment horizontal="center" vertical="center" wrapText="1"/>
    </xf>
    <xf numFmtId="0" fontId="4" fillId="0" borderId="8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9" xfId="2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1" fillId="7" borderId="18" xfId="0" applyFont="1" applyFill="1" applyBorder="1" applyAlignment="1">
      <alignment horizontal="center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left" vertical="center" wrapText="1"/>
    </xf>
    <xf numFmtId="2" fontId="14" fillId="2" borderId="0" xfId="2" applyNumberFormat="1" applyFont="1" applyFill="1" applyAlignment="1">
      <alignment horizontal="center" vertical="center" wrapText="1"/>
    </xf>
  </cellXfs>
  <cellStyles count="3">
    <cellStyle name="Normal" xfId="0" builtinId="0"/>
    <cellStyle name="Normal 2" xfId="2" xr:uid="{9634318B-08D3-4507-BEA1-9D875DE41D0C}"/>
    <cellStyle name="Porcentagem" xfId="1" builtinId="5"/>
  </cellStyles>
  <dxfs count="3">
    <dxf>
      <font>
        <color rgb="FFFF0000"/>
      </font>
    </dxf>
    <dxf>
      <font>
        <color rgb="FFFFC000"/>
      </font>
    </dxf>
    <dxf>
      <font>
        <color theme="9" tint="-0.499984740745262"/>
      </font>
    </dxf>
  </dxfs>
  <tableStyles count="0" defaultTableStyle="TableStyleMedium2" defaultPivotStyle="PivotStyleLight16"/>
  <colors>
    <mruColors>
      <color rgb="FFF0F6F5"/>
      <color rgb="FFFF9999"/>
      <color rgb="FFFFCDC5"/>
      <color rgb="FF2682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1789907</xdr:colOff>
      <xdr:row>15</xdr:row>
      <xdr:rowOff>93928</xdr:rowOff>
    </xdr:from>
    <xdr:ext cx="3132665" cy="1194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C4093368-5F15-40D0-8C04-79A7E9A1CA81}"/>
                </a:ext>
              </a:extLst>
            </xdr:cNvPr>
            <xdr:cNvSpPr txBox="1"/>
          </xdr:nvSpPr>
          <xdr:spPr>
            <a:xfrm>
              <a:off x="4671220" y="5404116"/>
              <a:ext cx="3132665" cy="1194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0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pt-BR" sz="1000" b="0" i="1">
                        <a:latin typeface="Cambria Math" panose="02040503050406030204" pitchFamily="18" charset="0"/>
                      </a:rPr>
                      <m:t>𝐸𝑃𝑆</m:t>
                    </m:r>
                    <m:r>
                      <a:rPr lang="pt-BR" sz="1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pt-BR" sz="10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pt-BR" sz="10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−100,  </m:t>
                            </m:r>
                            <m:f>
                              <m:fPr>
                                <m:ctrlP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.−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𝑀𝑖𝑛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𝑅𝑒𝑔𝑢𝑙𝑎𝑡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𝑟𝑖𝑜</m:t>
                                </m:r>
                              </m:num>
                              <m:den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100%−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𝑀𝑖𝑛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 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𝑅𝑒𝑔𝑢𝑙𝑎𝑡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𝑟𝑖𝑜</m:t>
                                </m:r>
                              </m:den>
                            </m:f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≤50%</m:t>
                            </m:r>
                          </m:e>
                          <m:e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0,  0,50</m:t>
                            </m:r>
                            <m:r>
                              <a:rPr lang="pt-BR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&lt;</m:t>
                            </m:r>
                            <m:f>
                              <m:fPr>
                                <m:ctrlP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.−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𝑀𝑖𝑛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𝑅𝑒𝑔𝑢𝑙𝑎𝑡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𝑟𝑖𝑜</m:t>
                                </m:r>
                              </m:num>
                              <m:den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100%−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𝑀𝑖𝑛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 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𝑅𝑒𝑔𝑢𝑙𝑎𝑡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𝑟𝑖𝑜</m:t>
                                </m:r>
                              </m:den>
                            </m:f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≤90%</m:t>
                            </m:r>
                          </m:e>
                          <m:e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100,  </m:t>
                            </m:r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𝑠𝑒</m:t>
                            </m:r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f>
                              <m:fPr>
                                <m:ctrlP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.−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𝑀𝑖𝑛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𝑅𝑒𝑔𝑢𝑙𝑎𝑡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𝑟𝑖𝑜</m:t>
                                </m:r>
                              </m:num>
                              <m:den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100%−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𝑀𝑖𝑛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  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𝑅𝑒𝑔𝑢𝑙𝑎𝑡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pt-BR" sz="1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𝑟𝑖𝑜</m:t>
                                </m:r>
                              </m:den>
                            </m:f>
                            <m: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&gt;90%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C4093368-5F15-40D0-8C04-79A7E9A1CA81}"/>
                </a:ext>
              </a:extLst>
            </xdr:cNvPr>
            <xdr:cNvSpPr txBox="1"/>
          </xdr:nvSpPr>
          <xdr:spPr>
            <a:xfrm>
              <a:off x="4671220" y="5404116"/>
              <a:ext cx="3132665" cy="1194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  𝐸𝑃𝑆=</a:t>
              </a:r>
              <a:r>
                <a:rPr lang="pt-BR" sz="1000" i="0">
                  <a:latin typeface="Cambria Math" panose="02040503050406030204" pitchFamily="18" charset="0"/>
                </a:rPr>
                <a:t>{█(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−100,  (𝐼.𝑆.−𝑀𝑖𝑛. 𝑅𝑒𝑔𝑢𝑙𝑎𝑡ó𝑟𝑖𝑜)/(100%−𝑀𝑖𝑛.  𝑅𝑒𝑔𝑢𝑙𝑎𝑡ó𝑟𝑖𝑜)  ≤50%@0,  0,50</a:t>
              </a:r>
              <a:r>
                <a:rPr lang="pt-BR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&lt;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(𝐼.𝑆.−𝑀𝑖𝑛. 𝑅𝑒𝑔𝑢𝑙𝑎𝑡ó𝑟𝑖𝑜)/(100%−𝑀𝑖𝑛.  𝑅𝑒𝑔𝑢𝑙𝑎𝑡ó𝑟𝑖𝑜)  ≤90%@100,  𝑠𝑒 (𝐼.𝑆.−𝑀𝑖𝑛. 𝑅𝑒𝑔𝑢𝑙𝑎𝑡ó𝑟𝑖𝑜)/(100%−𝑀𝑖𝑛.  𝑅𝑒𝑔𝑢𝑙𝑎𝑡ó𝑟𝑖𝑜)&gt;90%)┤</a:t>
              </a:r>
              <a:endParaRPr lang="pt-BR" sz="1100"/>
            </a:p>
          </xdr:txBody>
        </xdr:sp>
      </mc:Fallback>
    </mc:AlternateContent>
    <xdr:clientData/>
  </xdr:oneCellAnchor>
  <xdr:twoCellAnchor editAs="oneCell">
    <xdr:from>
      <xdr:col>21</xdr:col>
      <xdr:colOff>231511</xdr:colOff>
      <xdr:row>6</xdr:row>
      <xdr:rowOff>119062</xdr:rowOff>
    </xdr:from>
    <xdr:to>
      <xdr:col>27</xdr:col>
      <xdr:colOff>205292</xdr:colOff>
      <xdr:row>9</xdr:row>
      <xdr:rowOff>359786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D1F9B4-CB9E-A3D1-2F29-BB59A1E5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27230" y="1857375"/>
          <a:ext cx="3617093" cy="1562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375612</xdr:colOff>
      <xdr:row>5</xdr:row>
      <xdr:rowOff>57149</xdr:rowOff>
    </xdr:from>
    <xdr:to>
      <xdr:col>9</xdr:col>
      <xdr:colOff>583431</xdr:colOff>
      <xdr:row>5</xdr:row>
      <xdr:rowOff>273628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F2AC21AE-72DE-489E-B286-F887B2C35672}"/>
            </a:ext>
          </a:extLst>
        </xdr:cNvPr>
        <xdr:cNvGrpSpPr/>
      </xdr:nvGrpSpPr>
      <xdr:grpSpPr>
        <a:xfrm>
          <a:off x="8979862" y="321732"/>
          <a:ext cx="207819" cy="216479"/>
          <a:chOff x="12679603" y="2481546"/>
          <a:chExt cx="360000" cy="360000"/>
        </a:xfrm>
      </xdr:grpSpPr>
      <xdr:sp macro="" textlink="">
        <xdr:nvSpPr>
          <xdr:cNvPr id="42" name="Elipse 41">
            <a:extLst>
              <a:ext uri="{FF2B5EF4-FFF2-40B4-BE49-F238E27FC236}">
                <a16:creationId xmlns:a16="http://schemas.microsoft.com/office/drawing/2014/main" id="{63FEEB14-07E3-9281-AA8A-2B582D7ADF8F}"/>
              </a:ext>
            </a:extLst>
          </xdr:cNvPr>
          <xdr:cNvSpPr/>
        </xdr:nvSpPr>
        <xdr:spPr>
          <a:xfrm>
            <a:off x="12679603" y="2481546"/>
            <a:ext cx="360000" cy="360000"/>
          </a:xfrm>
          <a:prstGeom prst="ellipse">
            <a:avLst/>
          </a:prstGeom>
          <a:solidFill>
            <a:srgbClr val="00B05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43" name="Meio-quadro 42">
            <a:extLst>
              <a:ext uri="{FF2B5EF4-FFF2-40B4-BE49-F238E27FC236}">
                <a16:creationId xmlns:a16="http://schemas.microsoft.com/office/drawing/2014/main" id="{506B16A7-10A3-AD59-296C-4F43748219E8}"/>
              </a:ext>
            </a:extLst>
          </xdr:cNvPr>
          <xdr:cNvSpPr/>
        </xdr:nvSpPr>
        <xdr:spPr>
          <a:xfrm rot="13465122">
            <a:off x="12769602" y="2490556"/>
            <a:ext cx="180000" cy="288000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320770</xdr:colOff>
      <xdr:row>11</xdr:row>
      <xdr:rowOff>57149</xdr:rowOff>
    </xdr:from>
    <xdr:to>
      <xdr:col>7</xdr:col>
      <xdr:colOff>537249</xdr:colOff>
      <xdr:row>11</xdr:row>
      <xdr:rowOff>269945</xdr:rowOff>
    </xdr:to>
    <xdr:grpSp>
      <xdr:nvGrpSpPr>
        <xdr:cNvPr id="59" name="Agrupar 58">
          <a:extLst>
            <a:ext uri="{FF2B5EF4-FFF2-40B4-BE49-F238E27FC236}">
              <a16:creationId xmlns:a16="http://schemas.microsoft.com/office/drawing/2014/main" id="{A985D1C6-F48A-4CDA-9E94-3594EBFD5BA4}"/>
            </a:ext>
          </a:extLst>
        </xdr:cNvPr>
        <xdr:cNvGrpSpPr/>
      </xdr:nvGrpSpPr>
      <xdr:grpSpPr>
        <a:xfrm>
          <a:off x="7231687" y="1919816"/>
          <a:ext cx="216479" cy="212796"/>
          <a:chOff x="12861185" y="3661775"/>
          <a:chExt cx="369156" cy="360001"/>
        </a:xfrm>
      </xdr:grpSpPr>
      <xdr:sp macro="" textlink="">
        <xdr:nvSpPr>
          <xdr:cNvPr id="60" name="Elipse 59">
            <a:extLst>
              <a:ext uri="{FF2B5EF4-FFF2-40B4-BE49-F238E27FC236}">
                <a16:creationId xmlns:a16="http://schemas.microsoft.com/office/drawing/2014/main" id="{E8450511-0AFA-ACAD-0DBE-0405090452A3}"/>
              </a:ext>
            </a:extLst>
          </xdr:cNvPr>
          <xdr:cNvSpPr/>
        </xdr:nvSpPr>
        <xdr:spPr>
          <a:xfrm>
            <a:off x="12861185" y="3661776"/>
            <a:ext cx="360000" cy="3600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61" name="Sinal de Multiplicação 60">
            <a:extLst>
              <a:ext uri="{FF2B5EF4-FFF2-40B4-BE49-F238E27FC236}">
                <a16:creationId xmlns:a16="http://schemas.microsoft.com/office/drawing/2014/main" id="{F8EE3639-2074-8A86-A021-9793D1CB550A}"/>
              </a:ext>
            </a:extLst>
          </xdr:cNvPr>
          <xdr:cNvSpPr/>
        </xdr:nvSpPr>
        <xdr:spPr>
          <a:xfrm>
            <a:off x="12870341" y="3661775"/>
            <a:ext cx="360000" cy="360000"/>
          </a:xfrm>
          <a:prstGeom prst="mathMultiply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704273</xdr:colOff>
      <xdr:row>14</xdr:row>
      <xdr:rowOff>55638</xdr:rowOff>
    </xdr:from>
    <xdr:to>
      <xdr:col>4</xdr:col>
      <xdr:colOff>825496</xdr:colOff>
      <xdr:row>14</xdr:row>
      <xdr:rowOff>172212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1F096FB8-C259-4C53-8F87-9ADCC1C8ACF4}"/>
            </a:ext>
          </a:extLst>
        </xdr:cNvPr>
        <xdr:cNvGrpSpPr/>
      </xdr:nvGrpSpPr>
      <xdr:grpSpPr>
        <a:xfrm>
          <a:off x="5075190" y="2542721"/>
          <a:ext cx="121223" cy="116574"/>
          <a:chOff x="12679603" y="2455511"/>
          <a:chExt cx="360000" cy="386035"/>
        </a:xfrm>
      </xdr:grpSpPr>
      <xdr:sp macro="" textlink="">
        <xdr:nvSpPr>
          <xdr:cNvPr id="64" name="Elipse 63">
            <a:extLst>
              <a:ext uri="{FF2B5EF4-FFF2-40B4-BE49-F238E27FC236}">
                <a16:creationId xmlns:a16="http://schemas.microsoft.com/office/drawing/2014/main" id="{811919AC-625D-35AE-FB03-BFE7AF26A8B5}"/>
              </a:ext>
            </a:extLst>
          </xdr:cNvPr>
          <xdr:cNvSpPr/>
        </xdr:nvSpPr>
        <xdr:spPr>
          <a:xfrm>
            <a:off x="12679603" y="2481546"/>
            <a:ext cx="360000" cy="360000"/>
          </a:xfrm>
          <a:prstGeom prst="ellipse">
            <a:avLst/>
          </a:prstGeom>
          <a:solidFill>
            <a:srgbClr val="00B05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65" name="Meio-quadro 64">
            <a:extLst>
              <a:ext uri="{FF2B5EF4-FFF2-40B4-BE49-F238E27FC236}">
                <a16:creationId xmlns:a16="http://schemas.microsoft.com/office/drawing/2014/main" id="{4C0D93EB-9784-6431-7624-97A29B9297CB}"/>
              </a:ext>
            </a:extLst>
          </xdr:cNvPr>
          <xdr:cNvSpPr/>
        </xdr:nvSpPr>
        <xdr:spPr>
          <a:xfrm rot="13465122">
            <a:off x="12769601" y="2455511"/>
            <a:ext cx="179999" cy="288001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719666</xdr:colOff>
      <xdr:row>15</xdr:row>
      <xdr:rowOff>52917</xdr:rowOff>
    </xdr:from>
    <xdr:to>
      <xdr:col>4</xdr:col>
      <xdr:colOff>825500</xdr:colOff>
      <xdr:row>16</xdr:row>
      <xdr:rowOff>1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40AB54D9-888C-40E7-A2A3-BDBC85464B55}"/>
            </a:ext>
          </a:extLst>
        </xdr:cNvPr>
        <xdr:cNvGrpSpPr/>
      </xdr:nvGrpSpPr>
      <xdr:grpSpPr>
        <a:xfrm>
          <a:off x="5090583" y="2730500"/>
          <a:ext cx="105834" cy="137584"/>
          <a:chOff x="8567456" y="1176117"/>
          <a:chExt cx="360000" cy="382101"/>
        </a:xfrm>
      </xdr:grpSpPr>
      <xdr:sp macro="" textlink="">
        <xdr:nvSpPr>
          <xdr:cNvPr id="67" name="Elipse 66">
            <a:extLst>
              <a:ext uri="{FF2B5EF4-FFF2-40B4-BE49-F238E27FC236}">
                <a16:creationId xmlns:a16="http://schemas.microsoft.com/office/drawing/2014/main" id="{28CE4F7F-1747-CB22-D34C-273EDE6853FF}"/>
              </a:ext>
            </a:extLst>
          </xdr:cNvPr>
          <xdr:cNvSpPr/>
        </xdr:nvSpPr>
        <xdr:spPr>
          <a:xfrm>
            <a:off x="8567456" y="1198218"/>
            <a:ext cx="360000" cy="360000"/>
          </a:xfrm>
          <a:prstGeom prst="ellipse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68" name="Meio-quadro 67">
            <a:extLst>
              <a:ext uri="{FF2B5EF4-FFF2-40B4-BE49-F238E27FC236}">
                <a16:creationId xmlns:a16="http://schemas.microsoft.com/office/drawing/2014/main" id="{A70A38B6-2CB8-41E1-856E-510EF02B7F27}"/>
              </a:ext>
            </a:extLst>
          </xdr:cNvPr>
          <xdr:cNvSpPr/>
        </xdr:nvSpPr>
        <xdr:spPr>
          <a:xfrm rot="13465122">
            <a:off x="8683857" y="1176117"/>
            <a:ext cx="180000" cy="288000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705779</xdr:colOff>
      <xdr:row>16</xdr:row>
      <xdr:rowOff>63500</xdr:rowOff>
    </xdr:from>
    <xdr:to>
      <xdr:col>4</xdr:col>
      <xdr:colOff>833040</xdr:colOff>
      <xdr:row>16</xdr:row>
      <xdr:rowOff>177583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67F03E78-84D1-4435-88F6-E205301DB920}"/>
            </a:ext>
          </a:extLst>
        </xdr:cNvPr>
        <xdr:cNvGrpSpPr/>
      </xdr:nvGrpSpPr>
      <xdr:grpSpPr>
        <a:xfrm>
          <a:off x="5076696" y="2931583"/>
          <a:ext cx="127261" cy="114083"/>
          <a:chOff x="12838519" y="3661775"/>
          <a:chExt cx="382666" cy="360001"/>
        </a:xfrm>
      </xdr:grpSpPr>
      <xdr:sp macro="" textlink="">
        <xdr:nvSpPr>
          <xdr:cNvPr id="70" name="Elipse 69">
            <a:extLst>
              <a:ext uri="{FF2B5EF4-FFF2-40B4-BE49-F238E27FC236}">
                <a16:creationId xmlns:a16="http://schemas.microsoft.com/office/drawing/2014/main" id="{C409B650-F172-8CB1-A575-75218476B57F}"/>
              </a:ext>
            </a:extLst>
          </xdr:cNvPr>
          <xdr:cNvSpPr/>
        </xdr:nvSpPr>
        <xdr:spPr>
          <a:xfrm>
            <a:off x="12861185" y="3661776"/>
            <a:ext cx="360000" cy="3600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71" name="Sinal de Multiplicação 70">
            <a:extLst>
              <a:ext uri="{FF2B5EF4-FFF2-40B4-BE49-F238E27FC236}">
                <a16:creationId xmlns:a16="http://schemas.microsoft.com/office/drawing/2014/main" id="{91665D66-7FFD-526A-C58A-0E004E29C1F5}"/>
              </a:ext>
            </a:extLst>
          </xdr:cNvPr>
          <xdr:cNvSpPr/>
        </xdr:nvSpPr>
        <xdr:spPr>
          <a:xfrm>
            <a:off x="12838519" y="3661775"/>
            <a:ext cx="360000" cy="360001"/>
          </a:xfrm>
          <a:prstGeom prst="mathMultiply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26991</xdr:colOff>
      <xdr:row>5</xdr:row>
      <xdr:rowOff>36178</xdr:rowOff>
    </xdr:from>
    <xdr:to>
      <xdr:col>9</xdr:col>
      <xdr:colOff>238273</xdr:colOff>
      <xdr:row>5</xdr:row>
      <xdr:rowOff>264778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BD64C4BE-13AD-4C89-BE38-112DDEAC472C}"/>
            </a:ext>
          </a:extLst>
        </xdr:cNvPr>
        <xdr:cNvGrpSpPr/>
      </xdr:nvGrpSpPr>
      <xdr:grpSpPr>
        <a:xfrm>
          <a:off x="8631241" y="300761"/>
          <a:ext cx="211282" cy="228600"/>
          <a:chOff x="8567456" y="1176117"/>
          <a:chExt cx="360000" cy="382101"/>
        </a:xfrm>
      </xdr:grpSpPr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A11E03B1-B3BE-29D9-7288-367F0F8B716F}"/>
              </a:ext>
            </a:extLst>
          </xdr:cNvPr>
          <xdr:cNvSpPr/>
        </xdr:nvSpPr>
        <xdr:spPr>
          <a:xfrm>
            <a:off x="8567456" y="1198218"/>
            <a:ext cx="360000" cy="360000"/>
          </a:xfrm>
          <a:prstGeom prst="ellipse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16" name="Meio-quadro 15">
            <a:extLst>
              <a:ext uri="{FF2B5EF4-FFF2-40B4-BE49-F238E27FC236}">
                <a16:creationId xmlns:a16="http://schemas.microsoft.com/office/drawing/2014/main" id="{F14171A8-5C34-25B6-C05F-9A5D5A9364E0}"/>
              </a:ext>
            </a:extLst>
          </xdr:cNvPr>
          <xdr:cNvSpPr/>
        </xdr:nvSpPr>
        <xdr:spPr>
          <a:xfrm rot="13465122">
            <a:off x="8683857" y="1176117"/>
            <a:ext cx="180000" cy="288000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18087</xdr:colOff>
      <xdr:row>5</xdr:row>
      <xdr:rowOff>29633</xdr:rowOff>
    </xdr:from>
    <xdr:to>
      <xdr:col>10</xdr:col>
      <xdr:colOff>234566</xdr:colOff>
      <xdr:row>5</xdr:row>
      <xdr:rowOff>242429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D4E655C-E4A0-492B-8EE9-D7AD053DC5E1}"/>
            </a:ext>
          </a:extLst>
        </xdr:cNvPr>
        <xdr:cNvGrpSpPr/>
      </xdr:nvGrpSpPr>
      <xdr:grpSpPr>
        <a:xfrm>
          <a:off x="9236170" y="294216"/>
          <a:ext cx="216479" cy="212796"/>
          <a:chOff x="12861185" y="3661775"/>
          <a:chExt cx="369156" cy="360001"/>
        </a:xfrm>
      </xdr:grpSpPr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96592C68-831A-3077-BF0B-8ECF8FE8F194}"/>
              </a:ext>
            </a:extLst>
          </xdr:cNvPr>
          <xdr:cNvSpPr/>
        </xdr:nvSpPr>
        <xdr:spPr>
          <a:xfrm>
            <a:off x="12861185" y="3661776"/>
            <a:ext cx="360000" cy="3600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19" name="Sinal de Multiplicação 18">
            <a:extLst>
              <a:ext uri="{FF2B5EF4-FFF2-40B4-BE49-F238E27FC236}">
                <a16:creationId xmlns:a16="http://schemas.microsoft.com/office/drawing/2014/main" id="{3F43FDE5-7909-8334-2C1E-A10E66349357}"/>
              </a:ext>
            </a:extLst>
          </xdr:cNvPr>
          <xdr:cNvSpPr/>
        </xdr:nvSpPr>
        <xdr:spPr>
          <a:xfrm>
            <a:off x="12870341" y="3661775"/>
            <a:ext cx="360000" cy="360000"/>
          </a:xfrm>
          <a:prstGeom prst="mathMultiply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327556</xdr:colOff>
      <xdr:row>10</xdr:row>
      <xdr:rowOff>50994</xdr:rowOff>
    </xdr:from>
    <xdr:to>
      <xdr:col>7</xdr:col>
      <xdr:colOff>538838</xdr:colOff>
      <xdr:row>10</xdr:row>
      <xdr:rowOff>279594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86938023-A2B8-44A7-B093-9CBA5CFC0D65}"/>
            </a:ext>
          </a:extLst>
        </xdr:cNvPr>
        <xdr:cNvGrpSpPr/>
      </xdr:nvGrpSpPr>
      <xdr:grpSpPr>
        <a:xfrm>
          <a:off x="7238473" y="1627911"/>
          <a:ext cx="211282" cy="228600"/>
          <a:chOff x="8567456" y="1176117"/>
          <a:chExt cx="360000" cy="382101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A9F37567-3F80-9695-B394-7ED5A2DA7E28}"/>
              </a:ext>
            </a:extLst>
          </xdr:cNvPr>
          <xdr:cNvSpPr/>
        </xdr:nvSpPr>
        <xdr:spPr>
          <a:xfrm>
            <a:off x="8567456" y="1198218"/>
            <a:ext cx="360000" cy="360000"/>
          </a:xfrm>
          <a:prstGeom prst="ellipse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4" name="Meio-quadro 3">
            <a:extLst>
              <a:ext uri="{FF2B5EF4-FFF2-40B4-BE49-F238E27FC236}">
                <a16:creationId xmlns:a16="http://schemas.microsoft.com/office/drawing/2014/main" id="{08DD737D-5AC9-D913-09E9-D614870F6D95}"/>
              </a:ext>
            </a:extLst>
          </xdr:cNvPr>
          <xdr:cNvSpPr/>
        </xdr:nvSpPr>
        <xdr:spPr>
          <a:xfrm rot="13465122">
            <a:off x="8683857" y="1176117"/>
            <a:ext cx="180000" cy="288000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316345</xdr:colOff>
      <xdr:row>9</xdr:row>
      <xdr:rowOff>50798</xdr:rowOff>
    </xdr:from>
    <xdr:to>
      <xdr:col>7</xdr:col>
      <xdr:colOff>524164</xdr:colOff>
      <xdr:row>9</xdr:row>
      <xdr:rowOff>267277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3A564302-C122-4285-9342-0DF8A31DB4EC}"/>
            </a:ext>
          </a:extLst>
        </xdr:cNvPr>
        <xdr:cNvGrpSpPr/>
      </xdr:nvGrpSpPr>
      <xdr:grpSpPr>
        <a:xfrm>
          <a:off x="7227262" y="1341965"/>
          <a:ext cx="207819" cy="216479"/>
          <a:chOff x="12679603" y="2481546"/>
          <a:chExt cx="360000" cy="360000"/>
        </a:xfrm>
      </xdr:grpSpPr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AB345752-57BE-BB77-A7AF-61833E199093}"/>
              </a:ext>
            </a:extLst>
          </xdr:cNvPr>
          <xdr:cNvSpPr/>
        </xdr:nvSpPr>
        <xdr:spPr>
          <a:xfrm>
            <a:off x="12679603" y="2481546"/>
            <a:ext cx="360000" cy="360000"/>
          </a:xfrm>
          <a:prstGeom prst="ellipse">
            <a:avLst/>
          </a:prstGeom>
          <a:solidFill>
            <a:srgbClr val="00B05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13" name="Meio-quadro 12">
            <a:extLst>
              <a:ext uri="{FF2B5EF4-FFF2-40B4-BE49-F238E27FC236}">
                <a16:creationId xmlns:a16="http://schemas.microsoft.com/office/drawing/2014/main" id="{B8CFB640-A6AF-E2B8-F05E-E48C483FCAE7}"/>
              </a:ext>
            </a:extLst>
          </xdr:cNvPr>
          <xdr:cNvSpPr/>
        </xdr:nvSpPr>
        <xdr:spPr>
          <a:xfrm rot="13465122">
            <a:off x="12769602" y="2490556"/>
            <a:ext cx="180000" cy="288000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331162</xdr:colOff>
      <xdr:row>12</xdr:row>
      <xdr:rowOff>55031</xdr:rowOff>
    </xdr:from>
    <xdr:to>
      <xdr:col>7</xdr:col>
      <xdr:colOff>538981</xdr:colOff>
      <xdr:row>12</xdr:row>
      <xdr:rowOff>271510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854FBB31-C8EC-4EEE-83DA-3AD973F2EA34}"/>
            </a:ext>
          </a:extLst>
        </xdr:cNvPr>
        <xdr:cNvGrpSpPr/>
      </xdr:nvGrpSpPr>
      <xdr:grpSpPr>
        <a:xfrm>
          <a:off x="7242079" y="2203448"/>
          <a:ext cx="207819" cy="216479"/>
          <a:chOff x="12679603" y="2481546"/>
          <a:chExt cx="360000" cy="360000"/>
        </a:xfrm>
      </xdr:grpSpPr>
      <xdr:sp macro="" textlink="">
        <xdr:nvSpPr>
          <xdr:cNvPr id="21" name="Elipse 20">
            <a:extLst>
              <a:ext uri="{FF2B5EF4-FFF2-40B4-BE49-F238E27FC236}">
                <a16:creationId xmlns:a16="http://schemas.microsoft.com/office/drawing/2014/main" id="{07CC2132-24B7-A9C9-4ECF-2A54C28813ED}"/>
              </a:ext>
            </a:extLst>
          </xdr:cNvPr>
          <xdr:cNvSpPr/>
        </xdr:nvSpPr>
        <xdr:spPr>
          <a:xfrm>
            <a:off x="12679603" y="2481546"/>
            <a:ext cx="360000" cy="360000"/>
          </a:xfrm>
          <a:prstGeom prst="ellipse">
            <a:avLst/>
          </a:prstGeom>
          <a:solidFill>
            <a:srgbClr val="00B05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70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22" name="Meio-quadro 21">
            <a:extLst>
              <a:ext uri="{FF2B5EF4-FFF2-40B4-BE49-F238E27FC236}">
                <a16:creationId xmlns:a16="http://schemas.microsoft.com/office/drawing/2014/main" id="{C1CB9174-FEC5-4331-BC71-3C799C90AF37}"/>
              </a:ext>
            </a:extLst>
          </xdr:cNvPr>
          <xdr:cNvSpPr/>
        </xdr:nvSpPr>
        <xdr:spPr>
          <a:xfrm rot="13465122">
            <a:off x="12769602" y="2490556"/>
            <a:ext cx="180000" cy="288000"/>
          </a:xfrm>
          <a:prstGeom prst="halfFram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67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B3B3-71DD-49D0-B6E7-409B342E6BC4}">
  <sheetPr>
    <tabColor rgb="FF92D050"/>
  </sheetPr>
  <dimension ref="A1:X22"/>
  <sheetViews>
    <sheetView showGridLines="0" topLeftCell="J10" zoomScale="80" zoomScaleNormal="80" workbookViewId="0">
      <selection activeCell="R12" sqref="R12"/>
    </sheetView>
  </sheetViews>
  <sheetFormatPr defaultRowHeight="15" x14ac:dyDescent="0.25"/>
  <cols>
    <col min="1" max="2" width="2.7109375" style="14" customWidth="1"/>
    <col min="3" max="3" width="37.85546875" style="1" customWidth="1"/>
    <col min="4" max="4" width="47.85546875" style="1" hidden="1" customWidth="1"/>
    <col min="5" max="5" width="14.140625" style="1" hidden="1" customWidth="1"/>
    <col min="6" max="6" width="15" style="1" hidden="1" customWidth="1"/>
    <col min="7" max="7" width="26.7109375" style="1" hidden="1" customWidth="1"/>
    <col min="8" max="8" width="28" style="1" customWidth="1"/>
    <col min="9" max="9" width="47.85546875" style="1" customWidth="1"/>
    <col min="10" max="10" width="15.42578125" style="1" customWidth="1"/>
    <col min="11" max="11" width="22.28515625" style="1" customWidth="1"/>
    <col min="12" max="12" width="20.5703125" style="1" customWidth="1"/>
    <col min="13" max="13" width="18.85546875" style="1" customWidth="1"/>
    <col min="14" max="14" width="14.85546875" style="1" customWidth="1"/>
    <col min="15" max="18" width="20.7109375" style="1" customWidth="1"/>
    <col min="19" max="19" width="21.28515625" style="1" customWidth="1"/>
    <col min="20" max="20" width="24.28515625" style="1" customWidth="1"/>
    <col min="21" max="21" width="27.28515625" style="1" customWidth="1"/>
    <col min="22" max="16384" width="9.140625" style="1"/>
  </cols>
  <sheetData>
    <row r="1" spans="1:24" ht="19.5" customHeight="1" x14ac:dyDescent="0.25">
      <c r="C1" s="95" t="s">
        <v>204</v>
      </c>
      <c r="D1" s="6"/>
      <c r="E1" s="6"/>
      <c r="F1" s="6"/>
      <c r="G1" s="6"/>
    </row>
    <row r="2" spans="1:24" x14ac:dyDescent="0.25">
      <c r="C2" s="2"/>
      <c r="D2" s="2"/>
      <c r="E2" s="2"/>
      <c r="F2" s="2"/>
      <c r="G2" s="2"/>
      <c r="J2" s="2" t="s">
        <v>179</v>
      </c>
      <c r="K2" s="2" t="s">
        <v>179</v>
      </c>
      <c r="O2" s="6" t="s">
        <v>207</v>
      </c>
      <c r="P2" s="6"/>
      <c r="Q2" s="6"/>
      <c r="R2" s="6"/>
      <c r="W2" s="154" t="s">
        <v>187</v>
      </c>
      <c r="X2" s="154"/>
    </row>
    <row r="3" spans="1:24" s="26" customFormat="1" ht="26.25" customHeight="1" x14ac:dyDescent="0.25">
      <c r="A3" s="27"/>
      <c r="B3" s="27"/>
      <c r="C3" s="23" t="s">
        <v>0</v>
      </c>
      <c r="D3" s="23" t="s">
        <v>206</v>
      </c>
      <c r="E3" s="23" t="s">
        <v>75</v>
      </c>
      <c r="F3" s="23" t="s">
        <v>8</v>
      </c>
      <c r="G3" s="23" t="s">
        <v>12</v>
      </c>
      <c r="H3" s="23" t="s">
        <v>13</v>
      </c>
      <c r="I3" s="23" t="s">
        <v>216</v>
      </c>
      <c r="J3" s="85" t="s">
        <v>181</v>
      </c>
      <c r="K3" s="85" t="s">
        <v>189</v>
      </c>
      <c r="L3" s="85" t="s">
        <v>180</v>
      </c>
      <c r="M3" s="85" t="s">
        <v>182</v>
      </c>
      <c r="N3" s="85" t="s">
        <v>183</v>
      </c>
      <c r="O3" s="24" t="s">
        <v>184</v>
      </c>
      <c r="P3" s="24"/>
      <c r="Q3" s="24" t="s">
        <v>229</v>
      </c>
      <c r="R3" s="24" t="s">
        <v>184</v>
      </c>
      <c r="S3" s="23" t="s">
        <v>37</v>
      </c>
      <c r="T3" s="28" t="s">
        <v>14</v>
      </c>
      <c r="U3" s="24" t="s">
        <v>222</v>
      </c>
      <c r="V3" s="25"/>
      <c r="W3" s="24" t="s">
        <v>185</v>
      </c>
      <c r="X3" s="24" t="s">
        <v>186</v>
      </c>
    </row>
    <row r="4" spans="1:24" s="32" customFormat="1" ht="35.1" customHeight="1" x14ac:dyDescent="0.25">
      <c r="A4" s="45"/>
      <c r="B4" s="31">
        <v>1</v>
      </c>
      <c r="C4" s="20" t="s">
        <v>82</v>
      </c>
      <c r="D4" s="17" t="s">
        <v>213</v>
      </c>
      <c r="E4" s="17" t="s">
        <v>210</v>
      </c>
      <c r="F4" s="17" t="s">
        <v>95</v>
      </c>
      <c r="G4" s="17" t="s">
        <v>81</v>
      </c>
      <c r="H4" s="149" t="s">
        <v>188</v>
      </c>
      <c r="I4" s="149" t="s">
        <v>223</v>
      </c>
      <c r="J4" s="140">
        <v>1.0396000000000001</v>
      </c>
      <c r="K4" s="140">
        <v>0.93420000000000003</v>
      </c>
      <c r="L4" s="90">
        <f>100%-K4</f>
        <v>6.579999999999997E-2</v>
      </c>
      <c r="M4" s="90">
        <f>J4-K4</f>
        <v>0.10540000000000005</v>
      </c>
      <c r="N4" s="92">
        <f>M4/L4</f>
        <v>1.6018237082066884</v>
      </c>
      <c r="O4" s="89">
        <f t="shared" ref="O4:O12" si="0">IF(N4&lt;=$W$4,$X$4,IF(N4&lt;=$W$5,$X$5,$X$6))</f>
        <v>1</v>
      </c>
      <c r="P4" s="112">
        <f t="shared" ref="P4:P12" si="1">IF(O4=100%,0,IF(O4=0,0.5,1))</f>
        <v>0</v>
      </c>
      <c r="Q4" s="111">
        <f>100%/9</f>
        <v>0.1111111111111111</v>
      </c>
      <c r="R4" s="112">
        <f>P4*Q4</f>
        <v>0</v>
      </c>
      <c r="S4" s="46" t="s">
        <v>41</v>
      </c>
      <c r="T4" s="16" t="s">
        <v>15</v>
      </c>
      <c r="U4" s="21"/>
      <c r="W4" s="91">
        <v>0.5</v>
      </c>
      <c r="X4" s="91">
        <v>-1</v>
      </c>
    </row>
    <row r="5" spans="1:24" s="32" customFormat="1" ht="35.1" customHeight="1" x14ac:dyDescent="0.25">
      <c r="A5" s="45"/>
      <c r="B5" s="31">
        <v>2</v>
      </c>
      <c r="C5" s="20" t="s">
        <v>83</v>
      </c>
      <c r="D5" s="17" t="s">
        <v>213</v>
      </c>
      <c r="E5" s="17" t="s">
        <v>210</v>
      </c>
      <c r="F5" s="17" t="s">
        <v>95</v>
      </c>
      <c r="G5" s="17" t="s">
        <v>81</v>
      </c>
      <c r="H5" s="150"/>
      <c r="I5" s="150"/>
      <c r="J5" s="140">
        <v>1.0147999999999999</v>
      </c>
      <c r="K5" s="140">
        <v>0.94059999999999999</v>
      </c>
      <c r="L5" s="90">
        <f t="shared" ref="L5:L12" si="2">100%-K5</f>
        <v>5.9400000000000008E-2</v>
      </c>
      <c r="M5" s="90">
        <f t="shared" ref="M5:M9" si="3">J5-K5</f>
        <v>7.4199999999999933E-2</v>
      </c>
      <c r="N5" s="92">
        <f t="shared" ref="N5:N12" si="4">M5/L5</f>
        <v>1.2491582491582478</v>
      </c>
      <c r="O5" s="89">
        <f t="shared" si="0"/>
        <v>1</v>
      </c>
      <c r="P5" s="112">
        <f t="shared" si="1"/>
        <v>0</v>
      </c>
      <c r="Q5" s="111">
        <f t="shared" ref="Q5:Q12" si="5">100%/9</f>
        <v>0.1111111111111111</v>
      </c>
      <c r="R5" s="112">
        <f t="shared" ref="R5:R12" si="6">P5*Q5</f>
        <v>0</v>
      </c>
      <c r="S5" s="46" t="s">
        <v>41</v>
      </c>
      <c r="T5" s="16" t="s">
        <v>15</v>
      </c>
      <c r="U5" s="21"/>
      <c r="W5" s="91">
        <v>0.9</v>
      </c>
      <c r="X5" s="91">
        <v>0</v>
      </c>
    </row>
    <row r="6" spans="1:24" s="32" customFormat="1" ht="35.1" customHeight="1" x14ac:dyDescent="0.25">
      <c r="A6" s="45"/>
      <c r="B6" s="31">
        <v>3</v>
      </c>
      <c r="C6" s="20" t="s">
        <v>84</v>
      </c>
      <c r="D6" s="17" t="s">
        <v>213</v>
      </c>
      <c r="E6" s="17" t="s">
        <v>210</v>
      </c>
      <c r="F6" s="17" t="s">
        <v>95</v>
      </c>
      <c r="G6" s="17" t="s">
        <v>81</v>
      </c>
      <c r="H6" s="150"/>
      <c r="I6" s="150"/>
      <c r="J6" s="140">
        <v>1.0575000000000001</v>
      </c>
      <c r="K6" s="140">
        <v>0.96919999999999995</v>
      </c>
      <c r="L6" s="90">
        <f t="shared" si="2"/>
        <v>3.080000000000005E-2</v>
      </c>
      <c r="M6" s="90">
        <f t="shared" si="3"/>
        <v>8.8300000000000156E-2</v>
      </c>
      <c r="N6" s="92">
        <f t="shared" si="4"/>
        <v>2.8668831168831175</v>
      </c>
      <c r="O6" s="89">
        <f t="shared" si="0"/>
        <v>1</v>
      </c>
      <c r="P6" s="112">
        <f t="shared" si="1"/>
        <v>0</v>
      </c>
      <c r="Q6" s="111">
        <f t="shared" si="5"/>
        <v>0.1111111111111111</v>
      </c>
      <c r="R6" s="112">
        <f t="shared" si="6"/>
        <v>0</v>
      </c>
      <c r="S6" s="46" t="s">
        <v>41</v>
      </c>
      <c r="T6" s="16" t="s">
        <v>15</v>
      </c>
      <c r="U6" s="21"/>
      <c r="W6" s="91">
        <v>1</v>
      </c>
      <c r="X6" s="91">
        <v>1</v>
      </c>
    </row>
    <row r="7" spans="1:24" s="32" customFormat="1" ht="35.1" customHeight="1" x14ac:dyDescent="0.25">
      <c r="A7" s="45"/>
      <c r="B7" s="31">
        <v>4</v>
      </c>
      <c r="C7" s="20" t="s">
        <v>115</v>
      </c>
      <c r="D7" s="17" t="s">
        <v>213</v>
      </c>
      <c r="E7" s="17" t="s">
        <v>210</v>
      </c>
      <c r="F7" s="17" t="s">
        <v>95</v>
      </c>
      <c r="G7" s="17" t="s">
        <v>81</v>
      </c>
      <c r="H7" s="150"/>
      <c r="I7" s="150"/>
      <c r="J7" s="140">
        <v>1.0419</v>
      </c>
      <c r="K7" s="140">
        <v>0.97299999999999998</v>
      </c>
      <c r="L7" s="90">
        <f>100%-K7</f>
        <v>2.7000000000000024E-2</v>
      </c>
      <c r="M7" s="90">
        <f t="shared" si="3"/>
        <v>6.8900000000000072E-2</v>
      </c>
      <c r="N7" s="92">
        <f>M7/L7</f>
        <v>2.5518518518518523</v>
      </c>
      <c r="O7" s="89">
        <f>IF(N7&lt;=$W$4,$X$4,IF(N7&lt;=$W$5,$X$5,$X$6))</f>
        <v>1</v>
      </c>
      <c r="P7" s="112">
        <f t="shared" si="1"/>
        <v>0</v>
      </c>
      <c r="Q7" s="111">
        <f t="shared" si="5"/>
        <v>0.1111111111111111</v>
      </c>
      <c r="R7" s="112">
        <f t="shared" si="6"/>
        <v>0</v>
      </c>
      <c r="S7" s="46" t="s">
        <v>41</v>
      </c>
      <c r="T7" s="16" t="s">
        <v>15</v>
      </c>
      <c r="U7" s="152"/>
    </row>
    <row r="8" spans="1:24" s="32" customFormat="1" ht="35.1" customHeight="1" x14ac:dyDescent="0.25">
      <c r="A8" s="45"/>
      <c r="B8" s="31">
        <v>5</v>
      </c>
      <c r="C8" s="20" t="s">
        <v>85</v>
      </c>
      <c r="D8" s="17" t="s">
        <v>213</v>
      </c>
      <c r="E8" s="17" t="s">
        <v>210</v>
      </c>
      <c r="F8" s="17" t="s">
        <v>95</v>
      </c>
      <c r="G8" s="17" t="s">
        <v>81</v>
      </c>
      <c r="H8" s="150"/>
      <c r="I8" s="150"/>
      <c r="J8" s="140">
        <v>1.0159</v>
      </c>
      <c r="K8" s="140">
        <v>0.95850000000000002</v>
      </c>
      <c r="L8" s="90">
        <f t="shared" si="2"/>
        <v>4.1499999999999981E-2</v>
      </c>
      <c r="M8" s="90">
        <f t="shared" si="3"/>
        <v>5.7400000000000007E-2</v>
      </c>
      <c r="N8" s="92">
        <f>M8/L8</f>
        <v>1.3831325301204827</v>
      </c>
      <c r="O8" s="89">
        <f t="shared" si="0"/>
        <v>1</v>
      </c>
      <c r="P8" s="112">
        <f t="shared" si="1"/>
        <v>0</v>
      </c>
      <c r="Q8" s="111">
        <f t="shared" si="5"/>
        <v>0.1111111111111111</v>
      </c>
      <c r="R8" s="112">
        <f t="shared" si="6"/>
        <v>0</v>
      </c>
      <c r="S8" s="46" t="s">
        <v>41</v>
      </c>
      <c r="T8" s="16" t="s">
        <v>15</v>
      </c>
      <c r="U8" s="153"/>
    </row>
    <row r="9" spans="1:24" s="32" customFormat="1" ht="35.1" customHeight="1" x14ac:dyDescent="0.25">
      <c r="A9" s="45"/>
      <c r="B9" s="47">
        <v>6</v>
      </c>
      <c r="C9" s="20" t="s">
        <v>86</v>
      </c>
      <c r="D9" s="17" t="s">
        <v>213</v>
      </c>
      <c r="E9" s="17" t="s">
        <v>210</v>
      </c>
      <c r="F9" s="17" t="s">
        <v>95</v>
      </c>
      <c r="G9" s="17" t="s">
        <v>81</v>
      </c>
      <c r="H9" s="150"/>
      <c r="I9" s="150"/>
      <c r="J9" s="140">
        <v>1.4029</v>
      </c>
      <c r="K9" s="140">
        <v>0.96060000000000001</v>
      </c>
      <c r="L9" s="90">
        <f t="shared" si="2"/>
        <v>3.9399999999999991E-2</v>
      </c>
      <c r="M9" s="90">
        <f t="shared" si="3"/>
        <v>0.44230000000000003</v>
      </c>
      <c r="N9" s="92">
        <f t="shared" si="4"/>
        <v>11.2258883248731</v>
      </c>
      <c r="O9" s="89">
        <f t="shared" si="0"/>
        <v>1</v>
      </c>
      <c r="P9" s="112">
        <f t="shared" si="1"/>
        <v>0</v>
      </c>
      <c r="Q9" s="111">
        <f t="shared" si="5"/>
        <v>0.1111111111111111</v>
      </c>
      <c r="R9" s="112">
        <f t="shared" si="6"/>
        <v>0</v>
      </c>
      <c r="S9" s="46" t="s">
        <v>41</v>
      </c>
      <c r="T9" s="16" t="s">
        <v>15</v>
      </c>
      <c r="U9" s="21"/>
    </row>
    <row r="10" spans="1:24" s="32" customFormat="1" ht="35.1" customHeight="1" x14ac:dyDescent="0.25">
      <c r="A10" s="45"/>
      <c r="B10" s="47">
        <v>7</v>
      </c>
      <c r="C10" s="20" t="s">
        <v>87</v>
      </c>
      <c r="D10" s="17" t="s">
        <v>213</v>
      </c>
      <c r="E10" s="17" t="s">
        <v>210</v>
      </c>
      <c r="F10" s="17" t="s">
        <v>95</v>
      </c>
      <c r="G10" s="17" t="s">
        <v>81</v>
      </c>
      <c r="H10" s="150"/>
      <c r="I10" s="150"/>
      <c r="J10" s="140">
        <v>0.97889999999999999</v>
      </c>
      <c r="K10" s="140">
        <v>0.95589999999999997</v>
      </c>
      <c r="L10" s="90">
        <f>100%-K10</f>
        <v>4.4100000000000028E-2</v>
      </c>
      <c r="M10" s="90">
        <f>J10-K10</f>
        <v>2.300000000000002E-2</v>
      </c>
      <c r="N10" s="92">
        <f>M10/L10</f>
        <v>0.52154195011337878</v>
      </c>
      <c r="O10" s="89">
        <f t="shared" si="0"/>
        <v>0</v>
      </c>
      <c r="P10" s="112">
        <f t="shared" si="1"/>
        <v>0.5</v>
      </c>
      <c r="Q10" s="111">
        <f t="shared" si="5"/>
        <v>0.1111111111111111</v>
      </c>
      <c r="R10" s="112">
        <f t="shared" si="6"/>
        <v>5.5555555555555552E-2</v>
      </c>
      <c r="S10" s="46" t="s">
        <v>41</v>
      </c>
      <c r="T10" s="16" t="s">
        <v>15</v>
      </c>
      <c r="U10" s="103"/>
    </row>
    <row r="11" spans="1:24" s="32" customFormat="1" ht="35.1" customHeight="1" x14ac:dyDescent="0.25">
      <c r="A11" s="45"/>
      <c r="B11" s="47">
        <v>8</v>
      </c>
      <c r="C11" s="20" t="s">
        <v>88</v>
      </c>
      <c r="D11" s="17" t="s">
        <v>213</v>
      </c>
      <c r="E11" s="17" t="s">
        <v>210</v>
      </c>
      <c r="F11" s="17" t="s">
        <v>95</v>
      </c>
      <c r="G11" s="17" t="s">
        <v>81</v>
      </c>
      <c r="H11" s="150"/>
      <c r="I11" s="150"/>
      <c r="J11" s="140">
        <v>1.0078</v>
      </c>
      <c r="K11" s="140">
        <v>0.9224</v>
      </c>
      <c r="L11" s="90">
        <f>100%-K11</f>
        <v>7.7600000000000002E-2</v>
      </c>
      <c r="M11" s="90">
        <f>J11-K11</f>
        <v>8.5400000000000031E-2</v>
      </c>
      <c r="N11" s="92">
        <f>M11/L11</f>
        <v>1.1005154639175261</v>
      </c>
      <c r="O11" s="89">
        <f t="shared" si="0"/>
        <v>1</v>
      </c>
      <c r="P11" s="112">
        <f t="shared" si="1"/>
        <v>0</v>
      </c>
      <c r="Q11" s="111">
        <f t="shared" si="5"/>
        <v>0.1111111111111111</v>
      </c>
      <c r="R11" s="112">
        <f t="shared" si="6"/>
        <v>0</v>
      </c>
      <c r="S11" s="46" t="s">
        <v>41</v>
      </c>
      <c r="T11" s="16" t="s">
        <v>15</v>
      </c>
      <c r="U11" s="104"/>
    </row>
    <row r="12" spans="1:24" s="32" customFormat="1" ht="35.1" customHeight="1" x14ac:dyDescent="0.25">
      <c r="A12" s="45"/>
      <c r="B12" s="47">
        <v>9</v>
      </c>
      <c r="C12" s="20" t="s">
        <v>89</v>
      </c>
      <c r="D12" s="17" t="s">
        <v>213</v>
      </c>
      <c r="E12" s="17" t="s">
        <v>210</v>
      </c>
      <c r="F12" s="17" t="s">
        <v>95</v>
      </c>
      <c r="G12" s="17" t="s">
        <v>81</v>
      </c>
      <c r="H12" s="151"/>
      <c r="I12" s="151"/>
      <c r="J12" s="140">
        <v>1.0270999999999999</v>
      </c>
      <c r="K12" s="140">
        <v>0.93730000000000002</v>
      </c>
      <c r="L12" s="90">
        <f t="shared" si="2"/>
        <v>6.2699999999999978E-2</v>
      </c>
      <c r="M12" s="90">
        <f>J12-K12</f>
        <v>8.979999999999988E-2</v>
      </c>
      <c r="N12" s="92">
        <f t="shared" si="4"/>
        <v>1.4322169059011149</v>
      </c>
      <c r="O12" s="89">
        <f t="shared" si="0"/>
        <v>1</v>
      </c>
      <c r="P12" s="112">
        <f t="shared" si="1"/>
        <v>0</v>
      </c>
      <c r="Q12" s="111">
        <f t="shared" si="5"/>
        <v>0.1111111111111111</v>
      </c>
      <c r="R12" s="112">
        <f t="shared" si="6"/>
        <v>0</v>
      </c>
      <c r="S12" s="46" t="s">
        <v>41</v>
      </c>
      <c r="T12" s="16" t="s">
        <v>15</v>
      </c>
      <c r="U12" s="105"/>
    </row>
    <row r="13" spans="1:24" x14ac:dyDescent="0.25">
      <c r="A13" s="45"/>
      <c r="C13" s="74" t="s">
        <v>5</v>
      </c>
      <c r="D13" s="74"/>
      <c r="E13" s="74"/>
      <c r="F13" s="4"/>
      <c r="G13" s="4"/>
      <c r="H13" s="75"/>
      <c r="I13" s="76"/>
      <c r="J13" s="77"/>
      <c r="K13" s="78"/>
      <c r="L13" s="79"/>
      <c r="M13" s="79"/>
      <c r="N13" s="141"/>
      <c r="O13" s="78"/>
      <c r="P13" s="78"/>
      <c r="Q13" s="78"/>
      <c r="R13" s="113">
        <f>SUM(R4:R12)</f>
        <v>5.5555555555555552E-2</v>
      </c>
      <c r="S13" s="75"/>
      <c r="T13" s="75"/>
      <c r="U13" s="78"/>
    </row>
    <row r="14" spans="1:24" x14ac:dyDescent="0.25">
      <c r="C14" s="7" t="s">
        <v>4</v>
      </c>
      <c r="D14" s="7"/>
      <c r="E14" s="7"/>
      <c r="F14" s="7"/>
      <c r="G14" s="7"/>
      <c r="H14" s="5"/>
      <c r="I14" s="5"/>
      <c r="J14" s="5"/>
      <c r="K14" s="11"/>
      <c r="L14" s="12"/>
      <c r="M14" s="12"/>
      <c r="N14" s="10"/>
      <c r="O14" s="49">
        <f>AVERAGE(O4:O12)</f>
        <v>0.88888888888888884</v>
      </c>
      <c r="P14" s="48"/>
      <c r="Q14" s="48"/>
      <c r="R14" s="48">
        <f>100%-R13</f>
        <v>0.94444444444444442</v>
      </c>
      <c r="S14" s="5"/>
      <c r="T14" s="5"/>
      <c r="U14" s="12"/>
    </row>
    <row r="16" spans="1:24" x14ac:dyDescent="0.25">
      <c r="C16" s="74"/>
      <c r="D16" s="74"/>
      <c r="E16" s="74"/>
    </row>
    <row r="17" spans="3:5" x14ac:dyDescent="0.25">
      <c r="C17" s="74"/>
      <c r="D17" s="74"/>
      <c r="E17" s="74"/>
    </row>
    <row r="18" spans="3:5" x14ac:dyDescent="0.25">
      <c r="C18"/>
      <c r="D18"/>
      <c r="E18"/>
    </row>
    <row r="19" spans="3:5" x14ac:dyDescent="0.25">
      <c r="C19"/>
      <c r="D19"/>
      <c r="E19"/>
    </row>
    <row r="20" spans="3:5" x14ac:dyDescent="0.25">
      <c r="C20"/>
      <c r="D20"/>
      <c r="E20"/>
    </row>
    <row r="21" spans="3:5" x14ac:dyDescent="0.25">
      <c r="C21"/>
      <c r="D21"/>
      <c r="E21"/>
    </row>
    <row r="22" spans="3:5" x14ac:dyDescent="0.25">
      <c r="C22"/>
      <c r="D22"/>
      <c r="E22"/>
    </row>
  </sheetData>
  <autoFilter ref="B3:U14" xr:uid="{789DA5C3-2C13-411B-BDD0-CBD3280F7545}"/>
  <mergeCells count="4">
    <mergeCell ref="H4:H12"/>
    <mergeCell ref="I4:I12"/>
    <mergeCell ref="U7:U8"/>
    <mergeCell ref="W2:X2"/>
  </mergeCells>
  <conditionalFormatting sqref="O4:O12 S4:T12">
    <cfRule type="cellIs" dxfId="2" priority="4" operator="equal">
      <formula>$X$6</formula>
    </cfRule>
    <cfRule type="cellIs" dxfId="1" priority="5" operator="equal">
      <formula>$X$5</formula>
    </cfRule>
    <cfRule type="cellIs" dxfId="0" priority="6" operator="equal">
      <formula>$X$4</formula>
    </cfRule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Informação classificada como interna, acessível no âmbito da Petros ou ambiente externo, conforme instrução de trabalho IT-0154.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AAAE-3C56-4AA2-A2CB-61CB85C66538}">
  <dimension ref="B2:C11"/>
  <sheetViews>
    <sheetView showGridLines="0" workbookViewId="0">
      <selection activeCell="E13" sqref="E13"/>
    </sheetView>
  </sheetViews>
  <sheetFormatPr defaultRowHeight="15" x14ac:dyDescent="0.25"/>
  <cols>
    <col min="1" max="1" width="6.28515625" customWidth="1"/>
    <col min="2" max="2" width="14.85546875" customWidth="1"/>
    <col min="3" max="3" width="23.85546875" customWidth="1"/>
  </cols>
  <sheetData>
    <row r="2" spans="2:3" ht="36.75" customHeight="1" x14ac:dyDescent="0.25">
      <c r="B2" s="54" t="s">
        <v>54</v>
      </c>
      <c r="C2" s="54" t="s">
        <v>55</v>
      </c>
    </row>
    <row r="3" spans="2:3" x14ac:dyDescent="0.25">
      <c r="B3" s="52" t="s">
        <v>45</v>
      </c>
      <c r="C3" s="53">
        <v>-7.3999999999999996E-2</v>
      </c>
    </row>
    <row r="4" spans="2:3" x14ac:dyDescent="0.25">
      <c r="B4" s="52" t="s">
        <v>46</v>
      </c>
      <c r="C4" s="53">
        <v>-5.3100000000000001E-2</v>
      </c>
    </row>
    <row r="5" spans="2:3" x14ac:dyDescent="0.25">
      <c r="B5" s="52" t="s">
        <v>48</v>
      </c>
      <c r="C5" s="53">
        <v>-4.6100000000000002E-2</v>
      </c>
    </row>
    <row r="6" spans="2:3" ht="30" x14ac:dyDescent="0.25">
      <c r="B6" s="52" t="s">
        <v>47</v>
      </c>
      <c r="C6" s="53">
        <v>-1.7600000000000001E-2</v>
      </c>
    </row>
    <row r="7" spans="2:3" x14ac:dyDescent="0.25">
      <c r="B7" s="52" t="s">
        <v>49</v>
      </c>
      <c r="C7" s="53">
        <v>2.6100000000000002E-2</v>
      </c>
    </row>
    <row r="8" spans="2:3" x14ac:dyDescent="0.25">
      <c r="B8" s="52" t="s">
        <v>50</v>
      </c>
      <c r="C8" s="53">
        <v>-0.31490000000000001</v>
      </c>
    </row>
    <row r="9" spans="2:3" x14ac:dyDescent="0.25">
      <c r="B9" s="52" t="s">
        <v>51</v>
      </c>
      <c r="C9" s="53">
        <v>0.10249999999999999</v>
      </c>
    </row>
    <row r="10" spans="2:3" x14ac:dyDescent="0.25">
      <c r="B10" s="52" t="s">
        <v>52</v>
      </c>
      <c r="C10" s="53">
        <v>-0.1532</v>
      </c>
    </row>
    <row r="11" spans="2:3" x14ac:dyDescent="0.25">
      <c r="B11" s="52" t="s">
        <v>53</v>
      </c>
      <c r="C11" s="53">
        <v>-3.3799999999999997E-2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B9E1-9957-492C-891C-D02C87E613F5}">
  <sheetPr>
    <tabColor rgb="FF92D050"/>
  </sheetPr>
  <dimension ref="A1:R28"/>
  <sheetViews>
    <sheetView showGridLines="0" topLeftCell="A17" zoomScale="80" zoomScaleNormal="80" workbookViewId="0">
      <selection activeCell="I20" sqref="I20"/>
    </sheetView>
  </sheetViews>
  <sheetFormatPr defaultRowHeight="15" x14ac:dyDescent="0.25"/>
  <cols>
    <col min="1" max="1" width="2.85546875" style="1" customWidth="1"/>
    <col min="2" max="2" width="3" style="1" customWidth="1"/>
    <col min="3" max="3" width="42" style="1" customWidth="1"/>
    <col min="4" max="4" width="29.42578125" style="1" customWidth="1"/>
    <col min="5" max="5" width="14.28515625" style="2" customWidth="1"/>
    <col min="6" max="6" width="13.42578125" style="1" customWidth="1"/>
    <col min="7" max="7" width="26" style="1" hidden="1" customWidth="1"/>
    <col min="8" max="8" width="43.42578125" style="1" customWidth="1"/>
    <col min="9" max="9" width="57.28515625" style="1" customWidth="1"/>
    <col min="10" max="10" width="13.5703125" style="1" customWidth="1"/>
    <col min="11" max="11" width="15.140625" style="1" customWidth="1"/>
    <col min="12" max="12" width="19.28515625" style="1" hidden="1" customWidth="1"/>
    <col min="13" max="13" width="20.5703125" style="1" hidden="1" customWidth="1"/>
    <col min="14" max="14" width="14.42578125" style="1" customWidth="1"/>
    <col min="15" max="15" width="10.28515625" style="1" customWidth="1"/>
    <col min="16" max="16" width="70.28515625" style="1" customWidth="1"/>
    <col min="17" max="17" width="10.7109375" style="1" bestFit="1" customWidth="1"/>
    <col min="18" max="18" width="27" style="1" bestFit="1" customWidth="1"/>
    <col min="19" max="16384" width="9.140625" style="1"/>
  </cols>
  <sheetData>
    <row r="1" spans="1:18" x14ac:dyDescent="0.25">
      <c r="C1" s="95" t="s">
        <v>204</v>
      </c>
      <c r="D1" s="6"/>
      <c r="E1" s="6"/>
      <c r="F1" s="6"/>
      <c r="G1" s="6"/>
      <c r="H1" s="6"/>
    </row>
    <row r="2" spans="1:18" ht="14.25" customHeight="1" x14ac:dyDescent="0.25">
      <c r="C2" s="2"/>
      <c r="D2" s="2"/>
      <c r="F2" s="2"/>
      <c r="G2" s="2"/>
      <c r="H2" s="2"/>
    </row>
    <row r="3" spans="1:18" s="26" customFormat="1" ht="30" x14ac:dyDescent="0.25">
      <c r="C3" s="23" t="s">
        <v>0</v>
      </c>
      <c r="D3" s="23" t="s">
        <v>206</v>
      </c>
      <c r="E3" s="23" t="s">
        <v>75</v>
      </c>
      <c r="F3" s="23" t="s">
        <v>8</v>
      </c>
      <c r="G3" s="23" t="s">
        <v>12</v>
      </c>
      <c r="H3" s="23" t="s">
        <v>105</v>
      </c>
      <c r="I3" s="23" t="s">
        <v>143</v>
      </c>
      <c r="J3" s="23" t="s">
        <v>37</v>
      </c>
      <c r="K3" s="85" t="s">
        <v>14</v>
      </c>
      <c r="L3" s="23" t="s">
        <v>2</v>
      </c>
      <c r="M3" s="23" t="s">
        <v>3</v>
      </c>
      <c r="N3" s="23" t="s">
        <v>6</v>
      </c>
      <c r="O3" s="23" t="s">
        <v>5</v>
      </c>
      <c r="P3" s="24" t="s">
        <v>144</v>
      </c>
      <c r="Q3" s="25"/>
    </row>
    <row r="4" spans="1:18" s="32" customFormat="1" ht="38.25" x14ac:dyDescent="0.25">
      <c r="A4" s="31"/>
      <c r="B4" s="31">
        <v>1</v>
      </c>
      <c r="C4" s="20" t="s">
        <v>18</v>
      </c>
      <c r="D4" s="17" t="s">
        <v>205</v>
      </c>
      <c r="E4" s="17" t="s">
        <v>76</v>
      </c>
      <c r="F4" s="17" t="s">
        <v>107</v>
      </c>
      <c r="G4" s="17" t="s">
        <v>92</v>
      </c>
      <c r="H4" s="17" t="s">
        <v>27</v>
      </c>
      <c r="I4" s="17" t="s">
        <v>158</v>
      </c>
      <c r="J4" s="17" t="s">
        <v>41</v>
      </c>
      <c r="K4" s="17" t="s">
        <v>25</v>
      </c>
      <c r="L4" s="35">
        <v>1</v>
      </c>
      <c r="M4" s="36">
        <f>1/17</f>
        <v>5.8823529411764705E-2</v>
      </c>
      <c r="N4" s="39">
        <v>0</v>
      </c>
      <c r="O4" s="127">
        <f t="shared" ref="O4:O6" si="0">L4*M4*N4</f>
        <v>0</v>
      </c>
      <c r="P4" s="109">
        <v>1</v>
      </c>
    </row>
    <row r="5" spans="1:18" s="32" customFormat="1" ht="38.25" x14ac:dyDescent="0.25">
      <c r="A5" s="31"/>
      <c r="B5" s="31">
        <v>2</v>
      </c>
      <c r="C5" s="20" t="s">
        <v>29</v>
      </c>
      <c r="D5" s="17" t="s">
        <v>205</v>
      </c>
      <c r="E5" s="17" t="s">
        <v>76</v>
      </c>
      <c r="F5" s="17" t="s">
        <v>107</v>
      </c>
      <c r="G5" s="17" t="s">
        <v>92</v>
      </c>
      <c r="H5" s="17" t="s">
        <v>26</v>
      </c>
      <c r="I5" s="17" t="s">
        <v>159</v>
      </c>
      <c r="J5" s="17" t="s">
        <v>41</v>
      </c>
      <c r="K5" s="17" t="s">
        <v>25</v>
      </c>
      <c r="L5" s="35">
        <v>1</v>
      </c>
      <c r="M5" s="36">
        <f t="shared" ref="M5:M20" si="1">1/17</f>
        <v>5.8823529411764705E-2</v>
      </c>
      <c r="N5" s="39">
        <v>0</v>
      </c>
      <c r="O5" s="127">
        <f t="shared" si="0"/>
        <v>0</v>
      </c>
      <c r="P5" s="143">
        <v>1</v>
      </c>
    </row>
    <row r="6" spans="1:18" s="32" customFormat="1" ht="38.25" x14ac:dyDescent="0.25">
      <c r="A6" s="31"/>
      <c r="B6" s="31">
        <v>3</v>
      </c>
      <c r="C6" s="20" t="s">
        <v>44</v>
      </c>
      <c r="D6" s="17" t="s">
        <v>205</v>
      </c>
      <c r="E6" s="17" t="s">
        <v>77</v>
      </c>
      <c r="F6" s="17" t="s">
        <v>108</v>
      </c>
      <c r="G6" s="17" t="s">
        <v>92</v>
      </c>
      <c r="H6" s="17" t="s">
        <v>113</v>
      </c>
      <c r="I6" s="17" t="s">
        <v>160</v>
      </c>
      <c r="J6" s="17" t="s">
        <v>41</v>
      </c>
      <c r="K6" s="122" t="s">
        <v>25</v>
      </c>
      <c r="L6" s="35">
        <v>1</v>
      </c>
      <c r="M6" s="36">
        <f t="shared" si="1"/>
        <v>5.8823529411764705E-2</v>
      </c>
      <c r="N6" s="39">
        <v>0</v>
      </c>
      <c r="O6" s="127">
        <f t="shared" si="0"/>
        <v>0</v>
      </c>
      <c r="P6" s="128">
        <v>0.93</v>
      </c>
    </row>
    <row r="7" spans="1:18" s="32" customFormat="1" ht="63.75" x14ac:dyDescent="0.25">
      <c r="A7" s="31"/>
      <c r="B7" s="31">
        <v>4</v>
      </c>
      <c r="C7" s="159" t="s">
        <v>31</v>
      </c>
      <c r="D7" s="17" t="s">
        <v>205</v>
      </c>
      <c r="E7" s="17" t="s">
        <v>77</v>
      </c>
      <c r="F7" s="17" t="s">
        <v>110</v>
      </c>
      <c r="G7" s="17" t="s">
        <v>92</v>
      </c>
      <c r="H7" s="17" t="s">
        <v>130</v>
      </c>
      <c r="I7" s="17" t="s">
        <v>161</v>
      </c>
      <c r="J7" s="17" t="s">
        <v>41</v>
      </c>
      <c r="K7" s="17" t="s">
        <v>25</v>
      </c>
      <c r="L7" s="35">
        <v>1</v>
      </c>
      <c r="M7" s="36">
        <f t="shared" si="1"/>
        <v>5.8823529411764705E-2</v>
      </c>
      <c r="N7" s="39">
        <v>0</v>
      </c>
      <c r="O7" s="127">
        <f t="shared" ref="O7:O14" si="2">L7*M7*N7</f>
        <v>0</v>
      </c>
      <c r="P7" s="135">
        <v>1</v>
      </c>
    </row>
    <row r="8" spans="1:18" s="32" customFormat="1" ht="51" x14ac:dyDescent="0.25">
      <c r="A8" s="31"/>
      <c r="B8" s="31">
        <v>5</v>
      </c>
      <c r="C8" s="160"/>
      <c r="D8" s="17" t="s">
        <v>205</v>
      </c>
      <c r="E8" s="17" t="s">
        <v>77</v>
      </c>
      <c r="F8" s="17" t="s">
        <v>110</v>
      </c>
      <c r="G8" s="17" t="s">
        <v>92</v>
      </c>
      <c r="H8" s="17" t="s">
        <v>131</v>
      </c>
      <c r="I8" s="17" t="s">
        <v>162</v>
      </c>
      <c r="J8" s="17" t="s">
        <v>41</v>
      </c>
      <c r="K8" s="122" t="s">
        <v>25</v>
      </c>
      <c r="L8" s="136">
        <v>1</v>
      </c>
      <c r="M8" s="137">
        <f t="shared" si="1"/>
        <v>5.8823529411764705E-2</v>
      </c>
      <c r="N8" s="39">
        <v>0</v>
      </c>
      <c r="O8" s="127">
        <f t="shared" si="2"/>
        <v>0</v>
      </c>
      <c r="P8" s="135">
        <v>1</v>
      </c>
    </row>
    <row r="9" spans="1:18" s="32" customFormat="1" ht="51" x14ac:dyDescent="0.25">
      <c r="A9" s="31"/>
      <c r="B9" s="31">
        <v>6</v>
      </c>
      <c r="C9" s="160"/>
      <c r="D9" s="17" t="s">
        <v>205</v>
      </c>
      <c r="E9" s="17" t="s">
        <v>77</v>
      </c>
      <c r="F9" s="17" t="s">
        <v>111</v>
      </c>
      <c r="G9" s="17" t="s">
        <v>92</v>
      </c>
      <c r="H9" s="17" t="s">
        <v>147</v>
      </c>
      <c r="I9" s="17" t="s">
        <v>163</v>
      </c>
      <c r="J9" s="17" t="s">
        <v>41</v>
      </c>
      <c r="K9" s="17" t="s">
        <v>25</v>
      </c>
      <c r="L9" s="35">
        <v>1</v>
      </c>
      <c r="M9" s="36">
        <f t="shared" si="1"/>
        <v>5.8823529411764705E-2</v>
      </c>
      <c r="N9" s="39">
        <v>0</v>
      </c>
      <c r="O9" s="38">
        <f t="shared" si="2"/>
        <v>0</v>
      </c>
      <c r="P9" s="157">
        <v>1</v>
      </c>
    </row>
    <row r="10" spans="1:18" s="32" customFormat="1" ht="51" x14ac:dyDescent="0.25">
      <c r="A10" s="31"/>
      <c r="B10" s="31">
        <v>7</v>
      </c>
      <c r="C10" s="160"/>
      <c r="D10" s="17" t="s">
        <v>205</v>
      </c>
      <c r="E10" s="17" t="s">
        <v>77</v>
      </c>
      <c r="F10" s="17" t="s">
        <v>111</v>
      </c>
      <c r="G10" s="17" t="s">
        <v>92</v>
      </c>
      <c r="H10" s="17" t="s">
        <v>148</v>
      </c>
      <c r="I10" s="17" t="s">
        <v>163</v>
      </c>
      <c r="J10" s="17" t="s">
        <v>41</v>
      </c>
      <c r="K10" s="17" t="s">
        <v>25</v>
      </c>
      <c r="L10" s="35">
        <v>1</v>
      </c>
      <c r="M10" s="36">
        <f t="shared" si="1"/>
        <v>5.8823529411764705E-2</v>
      </c>
      <c r="N10" s="39">
        <v>0</v>
      </c>
      <c r="O10" s="36">
        <f t="shared" si="2"/>
        <v>0</v>
      </c>
      <c r="P10" s="158"/>
    </row>
    <row r="11" spans="1:18" s="32" customFormat="1" ht="48.75" customHeight="1" x14ac:dyDescent="0.25">
      <c r="A11" s="31"/>
      <c r="B11" s="31">
        <v>8</v>
      </c>
      <c r="C11" s="161"/>
      <c r="D11" s="17" t="s">
        <v>205</v>
      </c>
      <c r="E11" s="17" t="s">
        <v>77</v>
      </c>
      <c r="F11" s="84" t="s">
        <v>150</v>
      </c>
      <c r="G11" s="17" t="s">
        <v>92</v>
      </c>
      <c r="H11" s="17" t="s">
        <v>116</v>
      </c>
      <c r="I11" s="17" t="s">
        <v>164</v>
      </c>
      <c r="J11" s="17" t="s">
        <v>41</v>
      </c>
      <c r="K11" s="17" t="s">
        <v>117</v>
      </c>
      <c r="L11" s="17">
        <v>1</v>
      </c>
      <c r="M11" s="36">
        <f t="shared" si="1"/>
        <v>5.8823529411764705E-2</v>
      </c>
      <c r="N11" s="39">
        <v>0</v>
      </c>
      <c r="O11" s="36">
        <f t="shared" si="2"/>
        <v>0</v>
      </c>
      <c r="P11" s="122" t="s">
        <v>236</v>
      </c>
    </row>
    <row r="12" spans="1:18" s="32" customFormat="1" ht="123" customHeight="1" x14ac:dyDescent="0.25">
      <c r="A12" s="31"/>
      <c r="B12" s="31">
        <v>9</v>
      </c>
      <c r="C12" s="155" t="s">
        <v>194</v>
      </c>
      <c r="D12" s="17" t="s">
        <v>205</v>
      </c>
      <c r="E12" s="17" t="s">
        <v>77</v>
      </c>
      <c r="F12" s="17" t="s">
        <v>110</v>
      </c>
      <c r="G12" s="17" t="s">
        <v>92</v>
      </c>
      <c r="H12" s="17" t="s">
        <v>211</v>
      </c>
      <c r="I12" s="17" t="s">
        <v>201</v>
      </c>
      <c r="J12" s="17" t="s">
        <v>41</v>
      </c>
      <c r="K12" s="17" t="s">
        <v>25</v>
      </c>
      <c r="L12" s="35">
        <v>1</v>
      </c>
      <c r="M12" s="36">
        <f t="shared" si="1"/>
        <v>5.8823529411764705E-2</v>
      </c>
      <c r="N12" s="39">
        <v>1</v>
      </c>
      <c r="O12" s="38">
        <f t="shared" si="2"/>
        <v>5.8823529411764705E-2</v>
      </c>
      <c r="P12" s="138" t="s">
        <v>239</v>
      </c>
    </row>
    <row r="13" spans="1:18" s="32" customFormat="1" ht="72" customHeight="1" x14ac:dyDescent="0.25">
      <c r="A13" s="31"/>
      <c r="B13" s="31">
        <v>10</v>
      </c>
      <c r="C13" s="156"/>
      <c r="D13" s="17" t="s">
        <v>205</v>
      </c>
      <c r="E13" s="17" t="s">
        <v>77</v>
      </c>
      <c r="F13" s="17" t="s">
        <v>111</v>
      </c>
      <c r="G13" s="17" t="s">
        <v>92</v>
      </c>
      <c r="H13" s="17" t="s">
        <v>212</v>
      </c>
      <c r="I13" s="17" t="s">
        <v>224</v>
      </c>
      <c r="J13" s="17" t="s">
        <v>41</v>
      </c>
      <c r="K13" s="17" t="s">
        <v>25</v>
      </c>
      <c r="L13" s="35">
        <v>1</v>
      </c>
      <c r="M13" s="36">
        <f t="shared" si="1"/>
        <v>5.8823529411764705E-2</v>
      </c>
      <c r="N13" s="39">
        <v>1</v>
      </c>
      <c r="O13" s="38">
        <f t="shared" si="2"/>
        <v>5.8823529411764705E-2</v>
      </c>
      <c r="P13" s="139" t="s">
        <v>248</v>
      </c>
      <c r="Q13" s="93"/>
      <c r="R13" s="93"/>
    </row>
    <row r="14" spans="1:18" s="32" customFormat="1" ht="78" customHeight="1" x14ac:dyDescent="0.25">
      <c r="A14" s="31"/>
      <c r="B14" s="31">
        <v>11</v>
      </c>
      <c r="C14" s="155" t="s">
        <v>30</v>
      </c>
      <c r="D14" s="17" t="s">
        <v>205</v>
      </c>
      <c r="E14" s="17" t="s">
        <v>77</v>
      </c>
      <c r="F14" s="17" t="s">
        <v>110</v>
      </c>
      <c r="G14" s="17" t="s">
        <v>92</v>
      </c>
      <c r="H14" s="17" t="s">
        <v>136</v>
      </c>
      <c r="I14" s="17" t="s">
        <v>165</v>
      </c>
      <c r="J14" s="17" t="s">
        <v>41</v>
      </c>
      <c r="K14" s="17" t="s">
        <v>134</v>
      </c>
      <c r="L14" s="35">
        <v>1</v>
      </c>
      <c r="M14" s="36">
        <f t="shared" si="1"/>
        <v>5.8823529411764705E-2</v>
      </c>
      <c r="N14" s="124">
        <v>0</v>
      </c>
      <c r="O14" s="38">
        <f t="shared" si="2"/>
        <v>0</v>
      </c>
      <c r="P14" s="109" t="s">
        <v>240</v>
      </c>
      <c r="Q14" s="93"/>
    </row>
    <row r="15" spans="1:18" s="32" customFormat="1" ht="55.5" customHeight="1" x14ac:dyDescent="0.25">
      <c r="A15" s="31"/>
      <c r="B15" s="31">
        <v>12</v>
      </c>
      <c r="C15" s="156"/>
      <c r="D15" s="17" t="s">
        <v>205</v>
      </c>
      <c r="E15" s="17" t="s">
        <v>77</v>
      </c>
      <c r="F15" s="17" t="s">
        <v>109</v>
      </c>
      <c r="G15" s="17" t="s">
        <v>92</v>
      </c>
      <c r="H15" s="17" t="s">
        <v>192</v>
      </c>
      <c r="I15" s="17" t="s">
        <v>193</v>
      </c>
      <c r="J15" s="17" t="s">
        <v>41</v>
      </c>
      <c r="K15" s="17" t="s">
        <v>134</v>
      </c>
      <c r="L15" s="35">
        <v>1</v>
      </c>
      <c r="M15" s="36">
        <f t="shared" si="1"/>
        <v>5.8823529411764705E-2</v>
      </c>
      <c r="N15" s="124">
        <v>0</v>
      </c>
      <c r="O15" s="38">
        <f>L15*M15*N15</f>
        <v>0</v>
      </c>
      <c r="P15" s="109" t="s">
        <v>242</v>
      </c>
    </row>
    <row r="16" spans="1:18" s="32" customFormat="1" ht="38.25" x14ac:dyDescent="0.25">
      <c r="A16" s="31"/>
      <c r="B16" s="31">
        <v>13</v>
      </c>
      <c r="C16" s="155" t="s">
        <v>43</v>
      </c>
      <c r="D16" s="17" t="s">
        <v>205</v>
      </c>
      <c r="E16" s="84" t="s">
        <v>77</v>
      </c>
      <c r="F16" s="17" t="s">
        <v>110</v>
      </c>
      <c r="G16" s="17" t="s">
        <v>92</v>
      </c>
      <c r="H16" s="17" t="s">
        <v>132</v>
      </c>
      <c r="I16" s="17" t="s">
        <v>166</v>
      </c>
      <c r="J16" s="17" t="s">
        <v>41</v>
      </c>
      <c r="K16" s="17" t="s">
        <v>133</v>
      </c>
      <c r="L16" s="35">
        <v>1</v>
      </c>
      <c r="M16" s="36">
        <f t="shared" si="1"/>
        <v>5.8823529411764705E-2</v>
      </c>
      <c r="N16" s="44">
        <v>0</v>
      </c>
      <c r="O16" s="37">
        <f t="shared" ref="O16:O20" si="3">L16*M16*N16</f>
        <v>0</v>
      </c>
      <c r="P16" s="122" t="s">
        <v>232</v>
      </c>
    </row>
    <row r="17" spans="1:18" s="32" customFormat="1" ht="38.25" x14ac:dyDescent="0.25">
      <c r="A17" s="31"/>
      <c r="B17" s="31">
        <v>14</v>
      </c>
      <c r="C17" s="156"/>
      <c r="D17" s="17" t="s">
        <v>205</v>
      </c>
      <c r="E17" s="17" t="s">
        <v>77</v>
      </c>
      <c r="F17" s="17" t="s">
        <v>111</v>
      </c>
      <c r="G17" s="17" t="s">
        <v>92</v>
      </c>
      <c r="H17" s="17" t="s">
        <v>149</v>
      </c>
      <c r="I17" s="17" t="s">
        <v>166</v>
      </c>
      <c r="J17" s="17" t="s">
        <v>41</v>
      </c>
      <c r="K17" s="17" t="s">
        <v>133</v>
      </c>
      <c r="L17" s="35">
        <v>1</v>
      </c>
      <c r="M17" s="36">
        <f t="shared" si="1"/>
        <v>5.8823529411764705E-2</v>
      </c>
      <c r="N17" s="39">
        <v>0</v>
      </c>
      <c r="O17" s="38">
        <f t="shared" si="3"/>
        <v>0</v>
      </c>
      <c r="P17" s="122" t="s">
        <v>232</v>
      </c>
      <c r="R17" s="93"/>
    </row>
    <row r="18" spans="1:18" s="32" customFormat="1" ht="63.75" x14ac:dyDescent="0.25">
      <c r="A18" s="31"/>
      <c r="B18" s="31">
        <v>15</v>
      </c>
      <c r="C18" s="51" t="s">
        <v>140</v>
      </c>
      <c r="D18" s="17" t="s">
        <v>205</v>
      </c>
      <c r="E18" s="17" t="s">
        <v>77</v>
      </c>
      <c r="F18" s="17" t="s">
        <v>108</v>
      </c>
      <c r="G18" s="17" t="s">
        <v>92</v>
      </c>
      <c r="H18" s="17" t="s">
        <v>114</v>
      </c>
      <c r="I18" s="17" t="s">
        <v>167</v>
      </c>
      <c r="J18" s="17" t="s">
        <v>41</v>
      </c>
      <c r="K18" s="122" t="s">
        <v>25</v>
      </c>
      <c r="L18" s="35">
        <v>1</v>
      </c>
      <c r="M18" s="36">
        <f t="shared" si="1"/>
        <v>5.8823529411764705E-2</v>
      </c>
      <c r="N18" s="124">
        <v>0</v>
      </c>
      <c r="O18" s="127">
        <f t="shared" si="3"/>
        <v>0</v>
      </c>
      <c r="P18" s="128">
        <v>1</v>
      </c>
    </row>
    <row r="19" spans="1:18" s="32" customFormat="1" ht="50.25" customHeight="1" x14ac:dyDescent="0.25">
      <c r="A19" s="31"/>
      <c r="B19" s="31">
        <v>16</v>
      </c>
      <c r="C19" s="155" t="s">
        <v>220</v>
      </c>
      <c r="D19" s="17" t="s">
        <v>205</v>
      </c>
      <c r="E19" s="86" t="s">
        <v>77</v>
      </c>
      <c r="F19" s="50" t="s">
        <v>109</v>
      </c>
      <c r="G19" s="17" t="s">
        <v>92</v>
      </c>
      <c r="H19" s="17" t="s">
        <v>218</v>
      </c>
      <c r="I19" s="17" t="s">
        <v>219</v>
      </c>
      <c r="J19" s="17" t="s">
        <v>41</v>
      </c>
      <c r="K19" s="17" t="s">
        <v>215</v>
      </c>
      <c r="L19" s="35">
        <v>1</v>
      </c>
      <c r="M19" s="36">
        <f t="shared" si="1"/>
        <v>5.8823529411764705E-2</v>
      </c>
      <c r="N19" s="124">
        <v>0</v>
      </c>
      <c r="O19" s="38">
        <f t="shared" si="3"/>
        <v>0</v>
      </c>
      <c r="P19" s="121">
        <v>220</v>
      </c>
    </row>
    <row r="20" spans="1:18" s="32" customFormat="1" ht="34.5" customHeight="1" x14ac:dyDescent="0.25">
      <c r="A20" s="31"/>
      <c r="B20" s="31">
        <v>17</v>
      </c>
      <c r="C20" s="156"/>
      <c r="D20" s="17" t="s">
        <v>205</v>
      </c>
      <c r="E20" s="86" t="s">
        <v>77</v>
      </c>
      <c r="F20" s="50" t="s">
        <v>109</v>
      </c>
      <c r="G20" s="17" t="s">
        <v>92</v>
      </c>
      <c r="H20" s="17" t="s">
        <v>217</v>
      </c>
      <c r="I20" s="17" t="s">
        <v>168</v>
      </c>
      <c r="J20" s="17" t="s">
        <v>40</v>
      </c>
      <c r="K20" s="17" t="s">
        <v>25</v>
      </c>
      <c r="L20" s="97">
        <v>1</v>
      </c>
      <c r="M20" s="36">
        <f t="shared" si="1"/>
        <v>5.8823529411764705E-2</v>
      </c>
      <c r="N20" s="126">
        <v>0</v>
      </c>
      <c r="O20" s="37">
        <f t="shared" si="3"/>
        <v>0</v>
      </c>
      <c r="P20" s="109">
        <v>1</v>
      </c>
    </row>
    <row r="21" spans="1:18" x14ac:dyDescent="0.25">
      <c r="C21" s="98"/>
      <c r="D21" s="87"/>
      <c r="E21" s="4"/>
      <c r="F21" s="2"/>
      <c r="H21" s="88"/>
      <c r="I21" s="96"/>
      <c r="K21" s="96"/>
      <c r="O21" s="123">
        <f>SUM(O4:O20)</f>
        <v>0.11764705882352941</v>
      </c>
      <c r="P21" s="96"/>
    </row>
    <row r="22" spans="1:18" ht="15" customHeight="1" x14ac:dyDescent="0.25">
      <c r="C22" s="7"/>
      <c r="D22" s="7"/>
      <c r="E22" s="7"/>
      <c r="F22" s="7"/>
      <c r="G22" s="7"/>
      <c r="H22" s="7"/>
      <c r="I22" s="5"/>
      <c r="J22" s="5"/>
      <c r="K22" s="5"/>
      <c r="L22" s="5"/>
      <c r="M22" s="11">
        <f>SUM(M4:M20)</f>
        <v>1</v>
      </c>
      <c r="N22" s="12"/>
      <c r="O22" s="10">
        <f>100%-O21</f>
        <v>0.88235294117647056</v>
      </c>
      <c r="P22" s="56"/>
    </row>
    <row r="24" spans="1:18" x14ac:dyDescent="0.25">
      <c r="C24" s="120"/>
    </row>
    <row r="25" spans="1:18" ht="15.75" x14ac:dyDescent="0.25">
      <c r="C25" s="80"/>
      <c r="D25" s="80"/>
      <c r="I25" s="2"/>
      <c r="J25" s="30"/>
      <c r="K25" s="30"/>
      <c r="M25" s="13"/>
    </row>
    <row r="26" spans="1:18" x14ac:dyDescent="0.25">
      <c r="I26" s="2"/>
    </row>
    <row r="27" spans="1:18" x14ac:dyDescent="0.25">
      <c r="I27" s="2"/>
      <c r="P27" s="110"/>
    </row>
    <row r="28" spans="1:18" x14ac:dyDescent="0.25">
      <c r="N28" s="68"/>
      <c r="P28" s="110"/>
    </row>
  </sheetData>
  <autoFilter ref="C3:P23" xr:uid="{4979B9E1-9957-492C-891C-D02C87E613F5}"/>
  <mergeCells count="6">
    <mergeCell ref="C19:C20"/>
    <mergeCell ref="P9:P10"/>
    <mergeCell ref="C7:C11"/>
    <mergeCell ref="C16:C17"/>
    <mergeCell ref="C14:C15"/>
    <mergeCell ref="C12:C13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&amp;C_x000D_&amp;1#&amp;"Calibri"&amp;10&amp;K000000 Informação classificada como interna, acessível no âmbito da Petros ou ambiente externo, conforme instrução de trabalho IT-0154.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DF69-5EE3-495D-A6AF-ACD5E26ADEC2}">
  <sheetPr>
    <tabColor rgb="FF92D050"/>
  </sheetPr>
  <dimension ref="A1:Q20"/>
  <sheetViews>
    <sheetView showGridLines="0" topLeftCell="H7" zoomScale="90" zoomScaleNormal="90" workbookViewId="0">
      <selection activeCell="P11" sqref="P11"/>
    </sheetView>
  </sheetViews>
  <sheetFormatPr defaultRowHeight="15" x14ac:dyDescent="0.25"/>
  <cols>
    <col min="1" max="2" width="3.85546875" style="1" customWidth="1"/>
    <col min="3" max="3" width="42.42578125" style="1" customWidth="1"/>
    <col min="4" max="4" width="54.7109375" style="1" hidden="1" customWidth="1"/>
    <col min="5" max="5" width="11.5703125" style="1" hidden="1" customWidth="1"/>
    <col min="6" max="6" width="18" style="1" hidden="1" customWidth="1"/>
    <col min="7" max="7" width="24.42578125" style="1" hidden="1" customWidth="1"/>
    <col min="8" max="8" width="40" style="1" customWidth="1"/>
    <col min="9" max="9" width="54.7109375" style="1" customWidth="1"/>
    <col min="10" max="10" width="18.5703125" style="1" hidden="1" customWidth="1"/>
    <col min="11" max="11" width="19.28515625" style="1" hidden="1" customWidth="1"/>
    <col min="12" max="12" width="16" style="1" hidden="1" customWidth="1"/>
    <col min="13" max="13" width="26.28515625" style="1" hidden="1" customWidth="1"/>
    <col min="14" max="14" width="20.140625" style="1" customWidth="1"/>
    <col min="15" max="15" width="16" style="1" customWidth="1"/>
    <col min="16" max="16" width="23.7109375" style="1" customWidth="1"/>
    <col min="17" max="17" width="53.28515625" style="1" customWidth="1"/>
    <col min="18" max="16384" width="9.140625" style="1"/>
  </cols>
  <sheetData>
    <row r="1" spans="1:17" x14ac:dyDescent="0.25">
      <c r="C1" s="95" t="s">
        <v>204</v>
      </c>
      <c r="D1" s="40"/>
      <c r="E1" s="6"/>
      <c r="F1" s="6"/>
      <c r="G1" s="6"/>
      <c r="H1" s="6"/>
    </row>
    <row r="2" spans="1:17" ht="9" customHeight="1" x14ac:dyDescent="0.25">
      <c r="C2" s="2"/>
      <c r="D2" s="2"/>
      <c r="E2" s="2"/>
      <c r="F2" s="2"/>
      <c r="G2" s="2"/>
      <c r="H2" s="2"/>
    </row>
    <row r="3" spans="1:17" s="26" customFormat="1" ht="30" x14ac:dyDescent="0.25">
      <c r="C3" s="23" t="s">
        <v>0</v>
      </c>
      <c r="D3" s="23" t="s">
        <v>206</v>
      </c>
      <c r="E3" s="23" t="s">
        <v>75</v>
      </c>
      <c r="F3" s="23" t="s">
        <v>8</v>
      </c>
      <c r="G3" s="23" t="s">
        <v>12</v>
      </c>
      <c r="H3" s="23" t="s">
        <v>1</v>
      </c>
      <c r="I3" s="23" t="s">
        <v>10</v>
      </c>
      <c r="J3" s="23" t="s">
        <v>37</v>
      </c>
      <c r="K3" s="85" t="s">
        <v>14</v>
      </c>
      <c r="L3" s="85" t="s">
        <v>2</v>
      </c>
      <c r="M3" s="23" t="s">
        <v>3</v>
      </c>
      <c r="N3" s="23" t="s">
        <v>6</v>
      </c>
      <c r="O3" s="23" t="s">
        <v>5</v>
      </c>
      <c r="P3" s="24" t="s">
        <v>144</v>
      </c>
      <c r="Q3" s="24" t="s">
        <v>221</v>
      </c>
    </row>
    <row r="4" spans="1:17" s="29" customFormat="1" ht="25.5" x14ac:dyDescent="0.25">
      <c r="A4" s="162"/>
      <c r="B4" s="55">
        <v>1</v>
      </c>
      <c r="C4" s="20" t="s">
        <v>16</v>
      </c>
      <c r="D4" s="20"/>
      <c r="E4" s="20" t="s">
        <v>78</v>
      </c>
      <c r="F4" s="17" t="s">
        <v>96</v>
      </c>
      <c r="G4" s="17" t="s">
        <v>91</v>
      </c>
      <c r="H4" s="17" t="s">
        <v>138</v>
      </c>
      <c r="I4" s="17" t="s">
        <v>169</v>
      </c>
      <c r="J4" s="17" t="s">
        <v>99</v>
      </c>
      <c r="K4" s="17" t="s">
        <v>25</v>
      </c>
      <c r="L4" s="18">
        <v>1</v>
      </c>
      <c r="M4" s="99">
        <f>0.5/7</f>
        <v>7.1428571428571425E-2</v>
      </c>
      <c r="N4" s="129">
        <v>0</v>
      </c>
      <c r="O4" s="99">
        <f>L4*M4*N4</f>
        <v>0</v>
      </c>
      <c r="P4" s="131">
        <v>0.111</v>
      </c>
      <c r="Q4" s="125"/>
    </row>
    <row r="5" spans="1:17" s="29" customFormat="1" ht="51" x14ac:dyDescent="0.25">
      <c r="A5" s="162"/>
      <c r="B5" s="55">
        <v>2</v>
      </c>
      <c r="C5" s="20" t="s">
        <v>104</v>
      </c>
      <c r="D5" s="20" t="s">
        <v>196</v>
      </c>
      <c r="E5" s="20" t="s">
        <v>78</v>
      </c>
      <c r="F5" s="17" t="s">
        <v>96</v>
      </c>
      <c r="G5" s="17" t="s">
        <v>91</v>
      </c>
      <c r="H5" s="17" t="s">
        <v>97</v>
      </c>
      <c r="I5" s="17" t="s">
        <v>171</v>
      </c>
      <c r="J5" s="17" t="s">
        <v>41</v>
      </c>
      <c r="K5" s="17" t="s">
        <v>25</v>
      </c>
      <c r="L5" s="18">
        <v>1</v>
      </c>
      <c r="M5" s="19">
        <f>0.5/4</f>
        <v>0.125</v>
      </c>
      <c r="N5" s="129">
        <v>1</v>
      </c>
      <c r="O5" s="99">
        <f>L5*M5*N5</f>
        <v>0.125</v>
      </c>
      <c r="P5" s="132">
        <v>0.435</v>
      </c>
      <c r="Q5" s="122"/>
    </row>
    <row r="6" spans="1:17" s="29" customFormat="1" ht="48.75" customHeight="1" x14ac:dyDescent="0.25">
      <c r="A6" s="162"/>
      <c r="B6" s="55">
        <v>3</v>
      </c>
      <c r="C6" s="20" t="s">
        <v>103</v>
      </c>
      <c r="D6" s="20" t="s">
        <v>197</v>
      </c>
      <c r="E6" s="20" t="s">
        <v>78</v>
      </c>
      <c r="F6" s="17" t="s">
        <v>96</v>
      </c>
      <c r="G6" s="17" t="s">
        <v>91</v>
      </c>
      <c r="H6" s="17" t="s">
        <v>98</v>
      </c>
      <c r="I6" s="17" t="s">
        <v>170</v>
      </c>
      <c r="J6" s="17" t="s">
        <v>41</v>
      </c>
      <c r="K6" s="17" t="s">
        <v>25</v>
      </c>
      <c r="L6" s="18">
        <v>1</v>
      </c>
      <c r="M6" s="19">
        <f>0.5/4</f>
        <v>0.125</v>
      </c>
      <c r="N6" s="129">
        <v>0</v>
      </c>
      <c r="O6" s="99">
        <f t="shared" ref="O6:O14" si="0">L6*M6*N6</f>
        <v>0</v>
      </c>
      <c r="P6" s="130">
        <v>0.97099999999999997</v>
      </c>
      <c r="Q6" s="125"/>
    </row>
    <row r="7" spans="1:17" s="29" customFormat="1" ht="41.25" customHeight="1" x14ac:dyDescent="0.25">
      <c r="A7" s="162"/>
      <c r="B7" s="55">
        <v>4</v>
      </c>
      <c r="C7" s="20" t="s">
        <v>17</v>
      </c>
      <c r="D7" s="20"/>
      <c r="E7" s="20" t="s">
        <v>78</v>
      </c>
      <c r="F7" s="17" t="s">
        <v>96</v>
      </c>
      <c r="G7" s="17" t="s">
        <v>91</v>
      </c>
      <c r="H7" s="17" t="s">
        <v>141</v>
      </c>
      <c r="I7" s="17" t="s">
        <v>172</v>
      </c>
      <c r="J7" s="17" t="s">
        <v>41</v>
      </c>
      <c r="K7" s="17" t="s">
        <v>25</v>
      </c>
      <c r="L7" s="18">
        <v>1</v>
      </c>
      <c r="M7" s="99">
        <f>0.5/7</f>
        <v>7.1428571428571425E-2</v>
      </c>
      <c r="N7" s="129">
        <v>0</v>
      </c>
      <c r="O7" s="99">
        <f t="shared" si="0"/>
        <v>0</v>
      </c>
      <c r="P7" s="130">
        <v>0.746</v>
      </c>
      <c r="Q7" s="125"/>
    </row>
    <row r="8" spans="1:17" s="29" customFormat="1" ht="45.75" customHeight="1" x14ac:dyDescent="0.25">
      <c r="A8" s="162"/>
      <c r="B8" s="55">
        <v>5</v>
      </c>
      <c r="C8" s="20" t="s">
        <v>102</v>
      </c>
      <c r="D8" s="20" t="s">
        <v>198</v>
      </c>
      <c r="E8" s="20" t="s">
        <v>78</v>
      </c>
      <c r="F8" s="17" t="s">
        <v>96</v>
      </c>
      <c r="G8" s="17" t="s">
        <v>91</v>
      </c>
      <c r="H8" s="17" t="s">
        <v>33</v>
      </c>
      <c r="I8" s="17" t="s">
        <v>126</v>
      </c>
      <c r="J8" s="17" t="s">
        <v>99</v>
      </c>
      <c r="K8" s="17" t="s">
        <v>25</v>
      </c>
      <c r="L8" s="18">
        <v>1</v>
      </c>
      <c r="M8" s="19">
        <f>0.5/7</f>
        <v>7.1428571428571425E-2</v>
      </c>
      <c r="N8" s="129">
        <v>0</v>
      </c>
      <c r="O8" s="99">
        <f t="shared" si="0"/>
        <v>0</v>
      </c>
      <c r="P8" s="130">
        <v>0.36199999999999999</v>
      </c>
      <c r="Q8" s="125"/>
    </row>
    <row r="9" spans="1:17" s="29" customFormat="1" ht="50.25" customHeight="1" x14ac:dyDescent="0.25">
      <c r="A9" s="162"/>
      <c r="B9" s="55">
        <v>6</v>
      </c>
      <c r="C9" s="20" t="s">
        <v>101</v>
      </c>
      <c r="D9" s="20" t="s">
        <v>199</v>
      </c>
      <c r="E9" s="20" t="s">
        <v>78</v>
      </c>
      <c r="F9" s="17" t="s">
        <v>96</v>
      </c>
      <c r="G9" s="17" t="s">
        <v>91</v>
      </c>
      <c r="H9" s="17" t="s">
        <v>142</v>
      </c>
      <c r="I9" s="17" t="s">
        <v>127</v>
      </c>
      <c r="J9" s="17" t="s">
        <v>41</v>
      </c>
      <c r="K9" s="17" t="s">
        <v>25</v>
      </c>
      <c r="L9" s="18">
        <v>1</v>
      </c>
      <c r="M9" s="19">
        <f>0.5/4</f>
        <v>0.125</v>
      </c>
      <c r="N9" s="129">
        <v>1</v>
      </c>
      <c r="O9" s="99">
        <f t="shared" si="0"/>
        <v>0.125</v>
      </c>
      <c r="P9" s="130">
        <v>0.875</v>
      </c>
      <c r="Q9" s="122"/>
    </row>
    <row r="10" spans="1:17" s="29" customFormat="1" ht="54.75" customHeight="1" x14ac:dyDescent="0.25">
      <c r="A10" s="55"/>
      <c r="B10" s="55">
        <v>7</v>
      </c>
      <c r="C10" s="20" t="s">
        <v>235</v>
      </c>
      <c r="D10" s="20" t="s">
        <v>200</v>
      </c>
      <c r="E10" s="20" t="s">
        <v>78</v>
      </c>
      <c r="F10" s="17" t="s">
        <v>96</v>
      </c>
      <c r="G10" s="17" t="s">
        <v>91</v>
      </c>
      <c r="H10" s="17" t="s">
        <v>135</v>
      </c>
      <c r="I10" s="17" t="s">
        <v>128</v>
      </c>
      <c r="J10" s="17" t="s">
        <v>99</v>
      </c>
      <c r="K10" s="17" t="s">
        <v>25</v>
      </c>
      <c r="L10" s="18">
        <v>1</v>
      </c>
      <c r="M10" s="19">
        <f>0.5/7</f>
        <v>7.1428571428571425E-2</v>
      </c>
      <c r="N10" s="129">
        <v>1</v>
      </c>
      <c r="O10" s="99">
        <f t="shared" si="0"/>
        <v>7.1428571428571425E-2</v>
      </c>
      <c r="P10" s="121">
        <v>375</v>
      </c>
      <c r="Q10" s="122"/>
    </row>
    <row r="11" spans="1:17" s="29" customFormat="1" ht="53.25" customHeight="1" x14ac:dyDescent="0.25">
      <c r="A11" s="55"/>
      <c r="B11" s="55">
        <v>8</v>
      </c>
      <c r="C11" s="20" t="s">
        <v>100</v>
      </c>
      <c r="D11" s="20"/>
      <c r="E11" s="20" t="s">
        <v>78</v>
      </c>
      <c r="F11" s="17" t="s">
        <v>96</v>
      </c>
      <c r="G11" s="17" t="s">
        <v>91</v>
      </c>
      <c r="H11" s="17" t="s">
        <v>129</v>
      </c>
      <c r="I11" s="17" t="s">
        <v>139</v>
      </c>
      <c r="J11" s="17" t="s">
        <v>41</v>
      </c>
      <c r="K11" s="17" t="s">
        <v>25</v>
      </c>
      <c r="L11" s="18">
        <v>1</v>
      </c>
      <c r="M11" s="19">
        <f>0.5/7</f>
        <v>7.1428571428571425E-2</v>
      </c>
      <c r="N11" s="129">
        <v>1</v>
      </c>
      <c r="O11" s="99">
        <f t="shared" si="0"/>
        <v>7.1428571428571425E-2</v>
      </c>
      <c r="P11" s="132">
        <v>0.66100000000000003</v>
      </c>
      <c r="Q11" s="122"/>
    </row>
    <row r="12" spans="1:17" s="29" customFormat="1" ht="38.25" x14ac:dyDescent="0.25">
      <c r="A12" s="55"/>
      <c r="B12" s="55">
        <v>9</v>
      </c>
      <c r="C12" s="20" t="s">
        <v>11</v>
      </c>
      <c r="D12" s="20"/>
      <c r="E12" s="17" t="s">
        <v>209</v>
      </c>
      <c r="F12" s="17" t="s">
        <v>9</v>
      </c>
      <c r="G12" s="17" t="s">
        <v>91</v>
      </c>
      <c r="H12" s="17" t="s">
        <v>151</v>
      </c>
      <c r="I12" s="17" t="s">
        <v>195</v>
      </c>
      <c r="J12" s="17" t="s">
        <v>41</v>
      </c>
      <c r="K12" s="17" t="s">
        <v>152</v>
      </c>
      <c r="L12" s="18">
        <v>1</v>
      </c>
      <c r="M12" s="19">
        <f>0.5/7</f>
        <v>7.1428571428571425E-2</v>
      </c>
      <c r="N12" s="144">
        <v>0</v>
      </c>
      <c r="O12" s="19">
        <f t="shared" si="0"/>
        <v>0</v>
      </c>
      <c r="P12" s="99" t="s">
        <v>237</v>
      </c>
      <c r="Q12" s="19"/>
    </row>
    <row r="13" spans="1:17" s="29" customFormat="1" ht="51" x14ac:dyDescent="0.25">
      <c r="A13" s="55"/>
      <c r="B13" s="55">
        <v>10</v>
      </c>
      <c r="C13" s="20" t="s">
        <v>90</v>
      </c>
      <c r="D13" s="20"/>
      <c r="E13" s="17" t="s">
        <v>209</v>
      </c>
      <c r="F13" s="17" t="s">
        <v>9</v>
      </c>
      <c r="G13" s="17" t="s">
        <v>91</v>
      </c>
      <c r="H13" s="17" t="s">
        <v>153</v>
      </c>
      <c r="I13" s="17" t="s">
        <v>154</v>
      </c>
      <c r="J13" s="17" t="s">
        <v>41</v>
      </c>
      <c r="K13" s="17" t="s">
        <v>152</v>
      </c>
      <c r="L13" s="18">
        <v>1</v>
      </c>
      <c r="M13" s="19">
        <f>0.5/4</f>
        <v>0.125</v>
      </c>
      <c r="N13" s="144">
        <v>0</v>
      </c>
      <c r="O13" s="19">
        <f t="shared" si="0"/>
        <v>0</v>
      </c>
      <c r="P13" s="130" t="s">
        <v>238</v>
      </c>
      <c r="Q13" s="19"/>
    </row>
    <row r="14" spans="1:17" s="29" customFormat="1" ht="94.5" customHeight="1" x14ac:dyDescent="0.25">
      <c r="A14" s="55"/>
      <c r="B14" s="55">
        <v>11</v>
      </c>
      <c r="C14" s="20" t="s">
        <v>156</v>
      </c>
      <c r="D14" s="20"/>
      <c r="E14" s="17" t="s">
        <v>209</v>
      </c>
      <c r="F14" s="17" t="s">
        <v>9</v>
      </c>
      <c r="G14" s="17" t="s">
        <v>91</v>
      </c>
      <c r="H14" s="17" t="s">
        <v>155</v>
      </c>
      <c r="I14" s="17" t="s">
        <v>157</v>
      </c>
      <c r="J14" s="17" t="s">
        <v>41</v>
      </c>
      <c r="K14" s="17" t="s">
        <v>25</v>
      </c>
      <c r="L14" s="18">
        <v>1</v>
      </c>
      <c r="M14" s="19">
        <f>0.5/7</f>
        <v>7.1428571428571425E-2</v>
      </c>
      <c r="N14" s="129">
        <v>0</v>
      </c>
      <c r="O14" s="19">
        <f t="shared" si="0"/>
        <v>0</v>
      </c>
      <c r="P14" s="131">
        <v>0.98860000000000003</v>
      </c>
      <c r="Q14" s="106"/>
    </row>
    <row r="15" spans="1:17" ht="14.25" customHeight="1" x14ac:dyDescent="0.25">
      <c r="C15" s="4" t="s">
        <v>5</v>
      </c>
      <c r="D15" s="4"/>
      <c r="E15" s="4"/>
      <c r="F15" s="4"/>
      <c r="G15" s="4"/>
      <c r="H15" s="4"/>
      <c r="I15" s="6"/>
      <c r="J15" s="6"/>
      <c r="K15" s="6"/>
      <c r="L15" s="6"/>
      <c r="M15" s="3"/>
      <c r="N15" s="9">
        <v>1</v>
      </c>
      <c r="O15" s="15">
        <f>SUM(O4:O14)</f>
        <v>0.39285714285714279</v>
      </c>
    </row>
    <row r="16" spans="1:17" x14ac:dyDescent="0.25">
      <c r="C16" s="7" t="s">
        <v>4</v>
      </c>
      <c r="D16" s="7"/>
      <c r="E16" s="7"/>
      <c r="F16" s="7"/>
      <c r="G16" s="7"/>
      <c r="H16" s="7"/>
      <c r="I16" s="5"/>
      <c r="J16" s="5"/>
      <c r="K16" s="5"/>
      <c r="L16" s="5"/>
      <c r="M16" s="11">
        <f>SUM(M4:M9)</f>
        <v>0.58928571428571419</v>
      </c>
      <c r="N16" s="12"/>
      <c r="O16" s="10">
        <f>100%-O15</f>
        <v>0.60714285714285721</v>
      </c>
      <c r="P16" s="48"/>
      <c r="Q16" s="48"/>
    </row>
    <row r="17" spans="9:15" ht="10.5" customHeight="1" x14ac:dyDescent="0.25"/>
    <row r="18" spans="9:15" x14ac:dyDescent="0.25">
      <c r="I18" s="2"/>
      <c r="J18" s="2"/>
      <c r="K18" s="30"/>
    </row>
    <row r="19" spans="9:15" x14ac:dyDescent="0.25">
      <c r="I19" s="2"/>
      <c r="J19" s="2"/>
      <c r="M19" s="13"/>
    </row>
    <row r="20" spans="9:15" x14ac:dyDescent="0.25">
      <c r="I20" s="2"/>
      <c r="J20" s="2"/>
      <c r="O20" s="68"/>
    </row>
  </sheetData>
  <autoFilter ref="B3:Q16" xr:uid="{C51FDF69-5EE3-495D-A6AF-ACD5E26ADEC2}"/>
  <mergeCells count="2">
    <mergeCell ref="A7:A9"/>
    <mergeCell ref="A4:A6"/>
  </mergeCells>
  <pageMargins left="0.511811024" right="0.511811024" top="0.78740157499999996" bottom="0.78740157499999996" header="0.31496062000000002" footer="0.31496062000000002"/>
  <headerFooter>
    <oddFooter>&amp;C_x000D_&amp;1#&amp;"Calibri"&amp;10&amp;K000000 Informação classificada como interna, acessível no âmbito da Petros ou ambiente externo, conforme instrução de trabalho IT-0154.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8A3F-A4BF-45E4-B49D-BAD9FEC42061}">
  <sheetPr>
    <tabColor rgb="FF92D050"/>
  </sheetPr>
  <dimension ref="C2:G21"/>
  <sheetViews>
    <sheetView showGridLines="0" topLeftCell="B1" workbookViewId="0">
      <selection activeCell="D5" sqref="D5"/>
    </sheetView>
  </sheetViews>
  <sheetFormatPr defaultRowHeight="15" x14ac:dyDescent="0.25"/>
  <cols>
    <col min="3" max="3" width="26.7109375" bestFit="1" customWidth="1"/>
    <col min="4" max="4" width="21.85546875" customWidth="1"/>
    <col min="5" max="5" width="19.5703125" customWidth="1"/>
    <col min="6" max="6" width="9.85546875" bestFit="1" customWidth="1"/>
    <col min="7" max="7" width="39.5703125" bestFit="1" customWidth="1"/>
  </cols>
  <sheetData>
    <row r="2" spans="3:7" ht="18.75" x14ac:dyDescent="0.3">
      <c r="C2" s="163" t="s">
        <v>70</v>
      </c>
      <c r="D2" s="163"/>
      <c r="E2" s="163"/>
      <c r="F2" s="163"/>
      <c r="G2" s="163"/>
    </row>
    <row r="3" spans="3:7" x14ac:dyDescent="0.25">
      <c r="C3" s="69" t="s">
        <v>0</v>
      </c>
      <c r="D3" s="69" t="s">
        <v>1</v>
      </c>
      <c r="E3" s="69" t="s">
        <v>64</v>
      </c>
      <c r="F3" s="69" t="s">
        <v>69</v>
      </c>
      <c r="G3" s="69" t="s">
        <v>7</v>
      </c>
    </row>
    <row r="4" spans="3:7" ht="102" x14ac:dyDescent="0.25">
      <c r="C4" s="70" t="s">
        <v>63</v>
      </c>
      <c r="D4" s="71" t="s">
        <v>34</v>
      </c>
      <c r="E4" s="71" t="s">
        <v>65</v>
      </c>
      <c r="F4" s="72">
        <v>0.26</v>
      </c>
      <c r="G4" s="73" t="s">
        <v>71</v>
      </c>
    </row>
    <row r="5" spans="3:7" ht="63.75" x14ac:dyDescent="0.25">
      <c r="C5" s="70" t="s">
        <v>73</v>
      </c>
      <c r="D5" s="71" t="s">
        <v>35</v>
      </c>
      <c r="E5" s="71" t="s">
        <v>65</v>
      </c>
      <c r="F5" s="72">
        <v>0.90949999999999998</v>
      </c>
      <c r="G5" s="73" t="s">
        <v>67</v>
      </c>
    </row>
    <row r="6" spans="3:7" ht="63.75" x14ac:dyDescent="0.25">
      <c r="C6" s="70" t="s">
        <v>72</v>
      </c>
      <c r="D6" s="71" t="s">
        <v>36</v>
      </c>
      <c r="E6" s="71" t="s">
        <v>66</v>
      </c>
      <c r="F6" s="72">
        <v>0.5</v>
      </c>
      <c r="G6" s="73" t="s">
        <v>68</v>
      </c>
    </row>
    <row r="7" spans="3:7" ht="20.100000000000001" customHeight="1" x14ac:dyDescent="0.25"/>
    <row r="8" spans="3:7" ht="20.100000000000001" customHeight="1" x14ac:dyDescent="0.25"/>
    <row r="9" spans="3:7" ht="20.100000000000001" customHeight="1" x14ac:dyDescent="0.25"/>
    <row r="10" spans="3:7" ht="20.100000000000001" customHeight="1" x14ac:dyDescent="0.25"/>
    <row r="11" spans="3:7" ht="20.100000000000001" customHeight="1" x14ac:dyDescent="0.25"/>
    <row r="12" spans="3:7" ht="20.100000000000001" customHeight="1" x14ac:dyDescent="0.25"/>
    <row r="13" spans="3:7" ht="20.100000000000001" customHeight="1" x14ac:dyDescent="0.25"/>
    <row r="14" spans="3:7" ht="20.100000000000001" customHeight="1" x14ac:dyDescent="0.25"/>
    <row r="15" spans="3:7" ht="20.100000000000001" customHeight="1" x14ac:dyDescent="0.25"/>
    <row r="16" spans="3:7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</sheetData>
  <mergeCells count="1">
    <mergeCell ref="C2:G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F206-32BE-442E-9DF8-63C8F406F3A6}">
  <sheetPr>
    <tabColor rgb="FFFFC000"/>
  </sheetPr>
  <dimension ref="A1:R20"/>
  <sheetViews>
    <sheetView showGridLines="0" tabSelected="1" topLeftCell="G11" zoomScale="80" zoomScaleNormal="80" workbookViewId="0">
      <selection activeCell="I12" sqref="I12"/>
    </sheetView>
  </sheetViews>
  <sheetFormatPr defaultRowHeight="15" x14ac:dyDescent="0.25"/>
  <cols>
    <col min="1" max="2" width="3.85546875" style="8" customWidth="1"/>
    <col min="3" max="3" width="46.85546875" style="1" customWidth="1"/>
    <col min="4" max="4" width="28.140625" style="1" customWidth="1"/>
    <col min="5" max="5" width="13" style="1" customWidth="1"/>
    <col min="6" max="6" width="12.42578125" style="1" customWidth="1"/>
    <col min="7" max="7" width="20.7109375" style="1" customWidth="1"/>
    <col min="8" max="8" width="34" style="1" customWidth="1"/>
    <col min="9" max="9" width="54.7109375" style="1" customWidth="1"/>
    <col min="10" max="10" width="15.5703125" style="1" customWidth="1"/>
    <col min="11" max="11" width="15.28515625" style="1" customWidth="1"/>
    <col min="12" max="12" width="18.5703125" style="1" hidden="1" customWidth="1"/>
    <col min="13" max="13" width="20" style="1" hidden="1" customWidth="1"/>
    <col min="14" max="14" width="22.140625" style="1" customWidth="1"/>
    <col min="15" max="15" width="10.28515625" style="1" customWidth="1"/>
    <col min="16" max="16" width="42.28515625" style="1" customWidth="1"/>
    <col min="17" max="16384" width="9.140625" style="1"/>
  </cols>
  <sheetData>
    <row r="1" spans="1:18" x14ac:dyDescent="0.25">
      <c r="C1" s="95" t="s">
        <v>204</v>
      </c>
      <c r="D1" s="6"/>
      <c r="E1" s="6"/>
      <c r="F1" s="6"/>
      <c r="G1" s="6"/>
      <c r="H1" s="6"/>
    </row>
    <row r="2" spans="1:18" ht="12.75" customHeight="1" x14ac:dyDescent="0.25">
      <c r="C2" s="2"/>
      <c r="D2" s="2"/>
      <c r="E2" s="2"/>
      <c r="F2" s="2"/>
      <c r="G2" s="2"/>
      <c r="H2" s="2"/>
    </row>
    <row r="3" spans="1:18" s="26" customFormat="1" ht="30.75" customHeight="1" x14ac:dyDescent="0.25">
      <c r="A3" s="22"/>
      <c r="B3" s="22"/>
      <c r="C3" s="23" t="s">
        <v>0</v>
      </c>
      <c r="D3" s="23" t="s">
        <v>206</v>
      </c>
      <c r="E3" s="23" t="s">
        <v>75</v>
      </c>
      <c r="F3" s="23" t="s">
        <v>8</v>
      </c>
      <c r="G3" s="23" t="s">
        <v>12</v>
      </c>
      <c r="H3" s="23" t="s">
        <v>1</v>
      </c>
      <c r="I3" s="23" t="s">
        <v>143</v>
      </c>
      <c r="J3" s="23" t="s">
        <v>42</v>
      </c>
      <c r="K3" s="85" t="s">
        <v>14</v>
      </c>
      <c r="L3" s="23" t="s">
        <v>2</v>
      </c>
      <c r="M3" s="23" t="s">
        <v>3</v>
      </c>
      <c r="N3" s="23" t="s">
        <v>6</v>
      </c>
      <c r="O3" s="23" t="s">
        <v>5</v>
      </c>
      <c r="P3" s="24" t="s">
        <v>144</v>
      </c>
    </row>
    <row r="4" spans="1:18" s="83" customFormat="1" ht="89.25" x14ac:dyDescent="0.25">
      <c r="A4" s="31"/>
      <c r="B4" s="31">
        <v>1</v>
      </c>
      <c r="C4" s="94" t="s">
        <v>28</v>
      </c>
      <c r="D4" s="17" t="s">
        <v>205</v>
      </c>
      <c r="E4" s="17" t="s">
        <v>208</v>
      </c>
      <c r="F4" s="17" t="s">
        <v>74</v>
      </c>
      <c r="G4" s="17" t="s">
        <v>91</v>
      </c>
      <c r="H4" s="17" t="s">
        <v>202</v>
      </c>
      <c r="I4" s="17" t="s">
        <v>203</v>
      </c>
      <c r="J4" s="17" t="s">
        <v>38</v>
      </c>
      <c r="K4" s="17" t="s">
        <v>137</v>
      </c>
      <c r="L4" s="81">
        <v>1</v>
      </c>
      <c r="M4" s="19">
        <f>1/10</f>
        <v>0.1</v>
      </c>
      <c r="N4" s="145">
        <v>1</v>
      </c>
      <c r="O4" s="19">
        <f>L4*M4*N4</f>
        <v>0.1</v>
      </c>
      <c r="P4" s="122" t="s">
        <v>243</v>
      </c>
      <c r="Q4" s="82"/>
      <c r="R4" s="82"/>
    </row>
    <row r="5" spans="1:18" ht="69.75" customHeight="1" x14ac:dyDescent="0.25">
      <c r="A5" s="31"/>
      <c r="B5" s="47">
        <v>2</v>
      </c>
      <c r="C5" s="94" t="s">
        <v>191</v>
      </c>
      <c r="D5" s="17" t="s">
        <v>205</v>
      </c>
      <c r="E5" s="17" t="s">
        <v>208</v>
      </c>
      <c r="F5" s="17" t="s">
        <v>9</v>
      </c>
      <c r="G5" s="17" t="s">
        <v>91</v>
      </c>
      <c r="H5" s="17" t="s">
        <v>233</v>
      </c>
      <c r="I5" s="17" t="s">
        <v>190</v>
      </c>
      <c r="J5" s="17" t="s">
        <v>38</v>
      </c>
      <c r="K5" s="17" t="s">
        <v>25</v>
      </c>
      <c r="L5" s="17">
        <v>1</v>
      </c>
      <c r="M5" s="99">
        <f>1/10</f>
        <v>0.1</v>
      </c>
      <c r="N5" s="116">
        <v>0</v>
      </c>
      <c r="O5" s="19">
        <f t="shared" ref="O5:O13" si="0">L5*M5*N5</f>
        <v>0</v>
      </c>
      <c r="P5" s="142">
        <v>1</v>
      </c>
      <c r="Q5" s="26"/>
      <c r="R5" s="26"/>
    </row>
    <row r="6" spans="1:18" s="83" customFormat="1" ht="110.25" customHeight="1" x14ac:dyDescent="0.25">
      <c r="A6" s="31"/>
      <c r="B6" s="31">
        <v>3</v>
      </c>
      <c r="C6" s="155" t="s">
        <v>20</v>
      </c>
      <c r="D6" s="17" t="s">
        <v>205</v>
      </c>
      <c r="E6" s="17" t="s">
        <v>208</v>
      </c>
      <c r="F6" s="17" t="s">
        <v>74</v>
      </c>
      <c r="G6" s="17" t="s">
        <v>91</v>
      </c>
      <c r="H6" s="17" t="s">
        <v>122</v>
      </c>
      <c r="I6" s="17" t="s">
        <v>173</v>
      </c>
      <c r="J6" s="17" t="s">
        <v>38</v>
      </c>
      <c r="K6" s="17" t="s">
        <v>25</v>
      </c>
      <c r="L6" s="17">
        <v>1</v>
      </c>
      <c r="M6" s="99">
        <f t="shared" ref="M6:M13" si="1">1/10</f>
        <v>0.1</v>
      </c>
      <c r="N6" s="145">
        <v>0</v>
      </c>
      <c r="O6" s="19">
        <f t="shared" si="0"/>
        <v>0</v>
      </c>
      <c r="P6" s="17" t="s">
        <v>244</v>
      </c>
      <c r="Q6" s="82"/>
      <c r="R6" s="82"/>
    </row>
    <row r="7" spans="1:18" s="83" customFormat="1" ht="73.5" customHeight="1" x14ac:dyDescent="0.25">
      <c r="A7" s="31"/>
      <c r="B7" s="31">
        <v>4</v>
      </c>
      <c r="C7" s="156"/>
      <c r="D7" s="17" t="s">
        <v>205</v>
      </c>
      <c r="E7" s="17" t="s">
        <v>208</v>
      </c>
      <c r="F7" s="17" t="s">
        <v>74</v>
      </c>
      <c r="G7" s="17" t="s">
        <v>91</v>
      </c>
      <c r="H7" s="17" t="s">
        <v>123</v>
      </c>
      <c r="I7" s="17" t="s">
        <v>174</v>
      </c>
      <c r="J7" s="17" t="s">
        <v>38</v>
      </c>
      <c r="K7" s="17" t="s">
        <v>25</v>
      </c>
      <c r="L7" s="17">
        <v>1</v>
      </c>
      <c r="M7" s="19">
        <f t="shared" si="1"/>
        <v>0.1</v>
      </c>
      <c r="N7" s="145">
        <v>0</v>
      </c>
      <c r="O7" s="19">
        <f t="shared" si="0"/>
        <v>0</v>
      </c>
      <c r="P7" s="17" t="s">
        <v>245</v>
      </c>
      <c r="Q7" s="82"/>
      <c r="R7" s="82"/>
    </row>
    <row r="8" spans="1:18" s="83" customFormat="1" ht="42.75" customHeight="1" x14ac:dyDescent="0.25">
      <c r="A8" s="31"/>
      <c r="B8" s="31">
        <v>5</v>
      </c>
      <c r="C8" s="155" t="s">
        <v>24</v>
      </c>
      <c r="D8" s="17" t="s">
        <v>205</v>
      </c>
      <c r="E8" s="17" t="s">
        <v>208</v>
      </c>
      <c r="F8" s="84" t="s">
        <v>94</v>
      </c>
      <c r="G8" s="17" t="s">
        <v>112</v>
      </c>
      <c r="H8" s="17" t="s">
        <v>118</v>
      </c>
      <c r="I8" s="17" t="s">
        <v>214</v>
      </c>
      <c r="J8" s="17" t="s">
        <v>39</v>
      </c>
      <c r="K8" s="17" t="s">
        <v>215</v>
      </c>
      <c r="L8" s="17">
        <v>1</v>
      </c>
      <c r="M8" s="19">
        <f t="shared" si="1"/>
        <v>0.1</v>
      </c>
      <c r="N8" s="145">
        <v>0</v>
      </c>
      <c r="O8" s="19">
        <f t="shared" si="0"/>
        <v>0</v>
      </c>
      <c r="P8" s="133" t="s">
        <v>241</v>
      </c>
      <c r="Q8" s="82"/>
      <c r="R8" s="82"/>
    </row>
    <row r="9" spans="1:18" s="83" customFormat="1" ht="51" customHeight="1" x14ac:dyDescent="0.25">
      <c r="A9" s="31"/>
      <c r="B9" s="31">
        <v>6</v>
      </c>
      <c r="C9" s="166"/>
      <c r="D9" s="17" t="s">
        <v>205</v>
      </c>
      <c r="E9" s="17" t="s">
        <v>208</v>
      </c>
      <c r="F9" s="84" t="s">
        <v>94</v>
      </c>
      <c r="G9" s="17" t="s">
        <v>112</v>
      </c>
      <c r="H9" s="17" t="s">
        <v>119</v>
      </c>
      <c r="I9" s="17" t="s">
        <v>175</v>
      </c>
      <c r="J9" s="17" t="s">
        <v>38</v>
      </c>
      <c r="K9" s="17" t="s">
        <v>120</v>
      </c>
      <c r="L9" s="17">
        <v>1</v>
      </c>
      <c r="M9" s="99">
        <f t="shared" si="1"/>
        <v>0.1</v>
      </c>
      <c r="N9" s="145">
        <v>0</v>
      </c>
      <c r="O9" s="19">
        <f t="shared" si="0"/>
        <v>0</v>
      </c>
      <c r="P9" s="102"/>
      <c r="Q9" s="82"/>
      <c r="R9" s="82"/>
    </row>
    <row r="10" spans="1:18" s="83" customFormat="1" ht="70.5" customHeight="1" x14ac:dyDescent="0.25">
      <c r="A10" s="31"/>
      <c r="B10" s="31">
        <v>7</v>
      </c>
      <c r="C10" s="156"/>
      <c r="D10" s="17" t="s">
        <v>205</v>
      </c>
      <c r="E10" s="17" t="s">
        <v>208</v>
      </c>
      <c r="F10" s="84" t="s">
        <v>94</v>
      </c>
      <c r="G10" s="17" t="s">
        <v>112</v>
      </c>
      <c r="H10" s="17" t="s">
        <v>121</v>
      </c>
      <c r="I10" s="17" t="s">
        <v>176</v>
      </c>
      <c r="J10" s="17" t="s">
        <v>38</v>
      </c>
      <c r="K10" s="17" t="s">
        <v>120</v>
      </c>
      <c r="L10" s="17">
        <v>1</v>
      </c>
      <c r="M10" s="99">
        <f t="shared" si="1"/>
        <v>0.1</v>
      </c>
      <c r="N10" s="145">
        <v>0</v>
      </c>
      <c r="O10" s="19">
        <f t="shared" si="0"/>
        <v>0</v>
      </c>
      <c r="P10" s="102"/>
      <c r="Q10" s="82"/>
      <c r="R10" s="82"/>
    </row>
    <row r="11" spans="1:18" s="83" customFormat="1" ht="87" customHeight="1" x14ac:dyDescent="0.25">
      <c r="A11" s="31"/>
      <c r="B11" s="31">
        <v>8</v>
      </c>
      <c r="C11" s="20" t="s">
        <v>106</v>
      </c>
      <c r="D11" s="17" t="s">
        <v>205</v>
      </c>
      <c r="E11" s="17" t="s">
        <v>208</v>
      </c>
      <c r="F11" s="17" t="s">
        <v>94</v>
      </c>
      <c r="G11" s="17" t="s">
        <v>112</v>
      </c>
      <c r="H11" s="17" t="s">
        <v>226</v>
      </c>
      <c r="I11" s="17" t="s">
        <v>177</v>
      </c>
      <c r="J11" s="17" t="s">
        <v>38</v>
      </c>
      <c r="K11" s="17" t="s">
        <v>120</v>
      </c>
      <c r="L11" s="17">
        <v>1</v>
      </c>
      <c r="M11" s="99">
        <f t="shared" si="1"/>
        <v>0.1</v>
      </c>
      <c r="N11" s="145">
        <v>0</v>
      </c>
      <c r="O11" s="19">
        <f t="shared" si="0"/>
        <v>0</v>
      </c>
      <c r="P11" s="17"/>
      <c r="Q11" s="82"/>
      <c r="R11" s="82"/>
    </row>
    <row r="12" spans="1:18" s="83" customFormat="1" ht="127.5" x14ac:dyDescent="0.25">
      <c r="A12" s="31"/>
      <c r="B12" s="31">
        <v>9</v>
      </c>
      <c r="C12" s="155" t="s">
        <v>32</v>
      </c>
      <c r="D12" s="17" t="s">
        <v>205</v>
      </c>
      <c r="E12" s="17" t="s">
        <v>208</v>
      </c>
      <c r="F12" s="164" t="s">
        <v>225</v>
      </c>
      <c r="G12" s="164" t="s">
        <v>93</v>
      </c>
      <c r="H12" s="17" t="s">
        <v>124</v>
      </c>
      <c r="I12" s="17" t="s">
        <v>178</v>
      </c>
      <c r="J12" s="17" t="s">
        <v>38</v>
      </c>
      <c r="K12" s="17" t="s">
        <v>25</v>
      </c>
      <c r="L12" s="17">
        <v>1</v>
      </c>
      <c r="M12" s="99">
        <f t="shared" si="1"/>
        <v>0.1</v>
      </c>
      <c r="N12" s="167">
        <v>0</v>
      </c>
      <c r="O12" s="99">
        <f t="shared" si="0"/>
        <v>0</v>
      </c>
      <c r="P12" s="128">
        <v>0.9244</v>
      </c>
      <c r="Q12" s="82"/>
      <c r="R12" s="82"/>
    </row>
    <row r="13" spans="1:18" ht="30.75" customHeight="1" x14ac:dyDescent="0.25">
      <c r="A13" s="31"/>
      <c r="B13" s="31">
        <v>10</v>
      </c>
      <c r="C13" s="156"/>
      <c r="D13" s="17" t="s">
        <v>205</v>
      </c>
      <c r="E13" s="17" t="s">
        <v>208</v>
      </c>
      <c r="F13" s="165"/>
      <c r="G13" s="165"/>
      <c r="H13" s="17" t="s">
        <v>125</v>
      </c>
      <c r="I13" s="17" t="s">
        <v>234</v>
      </c>
      <c r="J13" s="17" t="s">
        <v>38</v>
      </c>
      <c r="K13" s="17" t="s">
        <v>25</v>
      </c>
      <c r="L13" s="17">
        <v>1</v>
      </c>
      <c r="M13" s="99">
        <f t="shared" si="1"/>
        <v>0.1</v>
      </c>
      <c r="N13" s="167">
        <v>0</v>
      </c>
      <c r="O13" s="99">
        <f t="shared" si="0"/>
        <v>0</v>
      </c>
      <c r="P13" s="128">
        <v>0.71499999999999997</v>
      </c>
      <c r="Q13" s="26"/>
      <c r="R13" s="26"/>
    </row>
    <row r="14" spans="1:18" x14ac:dyDescent="0.25">
      <c r="C14" s="4" t="s">
        <v>5</v>
      </c>
      <c r="D14" s="4"/>
      <c r="E14" s="4"/>
      <c r="F14" s="4"/>
      <c r="G14" s="4"/>
      <c r="H14" s="4"/>
      <c r="I14" s="6"/>
      <c r="J14" s="6"/>
      <c r="K14" s="6"/>
      <c r="L14" s="6"/>
      <c r="M14" s="21"/>
      <c r="N14" s="9">
        <v>1</v>
      </c>
      <c r="O14" s="9">
        <f>SUM(O4:O13)</f>
        <v>0.1</v>
      </c>
      <c r="Q14" s="26"/>
      <c r="R14" s="26"/>
    </row>
    <row r="15" spans="1:18" x14ac:dyDescent="0.25">
      <c r="C15" s="7" t="s">
        <v>4</v>
      </c>
      <c r="D15" s="7"/>
      <c r="E15" s="7"/>
      <c r="F15" s="7"/>
      <c r="G15" s="7"/>
      <c r="H15" s="7"/>
      <c r="I15" s="5"/>
      <c r="J15" s="5"/>
      <c r="K15" s="5"/>
      <c r="L15" s="5"/>
      <c r="M15" s="5"/>
      <c r="N15" s="12"/>
      <c r="O15" s="10">
        <f>100%-O14</f>
        <v>0.9</v>
      </c>
      <c r="P15" s="5"/>
      <c r="Q15" s="26"/>
      <c r="R15" s="26"/>
    </row>
    <row r="16" spans="1:18" ht="69.75" customHeight="1" x14ac:dyDescent="0.25">
      <c r="Q16" s="26"/>
      <c r="R16" s="26"/>
    </row>
    <row r="17" spans="9:13" x14ac:dyDescent="0.25">
      <c r="I17" s="41" t="s">
        <v>19</v>
      </c>
      <c r="J17" s="33"/>
      <c r="K17" s="41">
        <v>100</v>
      </c>
    </row>
    <row r="18" spans="9:13" x14ac:dyDescent="0.25">
      <c r="I18" s="41" t="s">
        <v>21</v>
      </c>
      <c r="J18" s="34"/>
      <c r="K18" s="42" t="s">
        <v>22</v>
      </c>
      <c r="M18" s="13"/>
    </row>
    <row r="19" spans="9:13" x14ac:dyDescent="0.25">
      <c r="I19" s="101"/>
      <c r="J19" s="33"/>
      <c r="K19" s="41" t="s">
        <v>23</v>
      </c>
    </row>
    <row r="20" spans="9:13" x14ac:dyDescent="0.25">
      <c r="I20" s="100">
        <f>((3+2)/2)/404</f>
        <v>6.1881188118811884E-3</v>
      </c>
      <c r="K20" s="43"/>
    </row>
  </sheetData>
  <autoFilter ref="B3:P15" xr:uid="{F7B4F206-32BE-442E-9DF8-63C8F406F3A6}"/>
  <mergeCells count="5">
    <mergeCell ref="C6:C7"/>
    <mergeCell ref="C12:C13"/>
    <mergeCell ref="F12:F13"/>
    <mergeCell ref="G12:G13"/>
    <mergeCell ref="C8:C10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&amp;C_x000D_&amp;1#&amp;"Calibri"&amp;10&amp;K000000 Informação classificada como interna, acessível no âmbito da Petros ou ambiente externo, conforme instrução de trabalho IT-0154.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5A7A-A1FF-4B86-B8B4-C9F996CD523C}">
  <dimension ref="C1:Q17"/>
  <sheetViews>
    <sheetView showGridLines="0" zoomScale="90" zoomScaleNormal="90" workbookViewId="0">
      <selection activeCell="J10" sqref="J10"/>
    </sheetView>
  </sheetViews>
  <sheetFormatPr defaultRowHeight="15" x14ac:dyDescent="0.25"/>
  <cols>
    <col min="3" max="3" width="45.85546875" customWidth="1"/>
    <col min="4" max="4" width="1.28515625" customWidth="1"/>
    <col min="5" max="9" width="12.7109375" customWidth="1"/>
    <col min="13" max="13" width="3.5703125" customWidth="1"/>
    <col min="14" max="14" width="20.42578125" customWidth="1"/>
    <col min="16" max="16" width="14.85546875" customWidth="1"/>
    <col min="17" max="17" width="12.140625" customWidth="1"/>
  </cols>
  <sheetData>
    <row r="1" spans="3:17" ht="4.5" customHeight="1" x14ac:dyDescent="0.25"/>
    <row r="2" spans="3:17" ht="4.5" customHeight="1" x14ac:dyDescent="0.25"/>
    <row r="3" spans="3:17" ht="4.5" customHeight="1" x14ac:dyDescent="0.25"/>
    <row r="4" spans="3:17" ht="4.5" customHeight="1" x14ac:dyDescent="0.25"/>
    <row r="5" spans="3:17" ht="4.5" customHeight="1" x14ac:dyDescent="0.25"/>
    <row r="6" spans="3:17" ht="26.25" customHeight="1" x14ac:dyDescent="0.25">
      <c r="C6" s="146" t="s">
        <v>80</v>
      </c>
      <c r="D6" s="146"/>
      <c r="E6" s="146"/>
      <c r="F6" s="146"/>
      <c r="G6" s="146"/>
      <c r="H6" s="146"/>
      <c r="P6" s="147" t="s">
        <v>56</v>
      </c>
      <c r="Q6" s="148"/>
    </row>
    <row r="7" spans="3:17" ht="5.25" customHeight="1" x14ac:dyDescent="0.25">
      <c r="P7" s="57"/>
      <c r="Q7" s="58"/>
    </row>
    <row r="8" spans="3:17" ht="44.25" customHeight="1" x14ac:dyDescent="0.25">
      <c r="C8" s="62" t="s">
        <v>57</v>
      </c>
      <c r="D8" s="2"/>
      <c r="E8" s="62" t="s">
        <v>59</v>
      </c>
      <c r="F8" s="63" t="s">
        <v>227</v>
      </c>
      <c r="G8" s="63" t="s">
        <v>228</v>
      </c>
      <c r="H8" s="63" t="s">
        <v>60</v>
      </c>
      <c r="P8" s="59"/>
      <c r="Q8" s="60"/>
    </row>
    <row r="9" spans="3:17" ht="5.25" customHeight="1" x14ac:dyDescent="0.25">
      <c r="P9" s="57"/>
      <c r="Q9" s="61"/>
    </row>
    <row r="10" spans="3:17" ht="23.1" customHeight="1" x14ac:dyDescent="0.25">
      <c r="C10" s="107" t="s">
        <v>58</v>
      </c>
      <c r="E10" s="108">
        <v>0.9</v>
      </c>
      <c r="F10" s="134">
        <v>0.89</v>
      </c>
      <c r="G10" s="119">
        <f>'1-Desequilíbrio Atuarial '!R14</f>
        <v>0.94444444444444442</v>
      </c>
      <c r="H10" s="114">
        <f>G10</f>
        <v>0.94444444444444442</v>
      </c>
      <c r="J10" t="s">
        <v>247</v>
      </c>
    </row>
    <row r="11" spans="3:17" ht="23.1" customHeight="1" x14ac:dyDescent="0.25">
      <c r="C11" s="65" t="s">
        <v>79</v>
      </c>
      <c r="E11" s="64">
        <v>0.9</v>
      </c>
      <c r="F11" s="118">
        <v>0.88235294117647056</v>
      </c>
      <c r="G11" s="117">
        <f>'2- Legal, Reg. e Governança'!O22</f>
        <v>0.88235294117647056</v>
      </c>
      <c r="H11" s="115">
        <f>G11</f>
        <v>0.88235294117647056</v>
      </c>
    </row>
    <row r="12" spans="3:17" ht="23.1" customHeight="1" x14ac:dyDescent="0.25">
      <c r="C12" s="107" t="s">
        <v>145</v>
      </c>
      <c r="E12" s="108">
        <v>0.9</v>
      </c>
      <c r="F12" s="134">
        <v>0.60714285714285721</v>
      </c>
      <c r="G12" s="108">
        <f>'3 -  Cibernético e Tecnologia'!O16</f>
        <v>0.60714285714285721</v>
      </c>
      <c r="H12" s="114">
        <f>G12</f>
        <v>0.60714285714285721</v>
      </c>
    </row>
    <row r="13" spans="3:17" ht="23.1" customHeight="1" x14ac:dyDescent="0.25">
      <c r="C13" s="65" t="s">
        <v>146</v>
      </c>
      <c r="E13" s="64">
        <v>0.9</v>
      </c>
      <c r="F13" s="118">
        <v>0.9</v>
      </c>
      <c r="G13" s="118">
        <f>'4- Inef. Operacinal'!O15</f>
        <v>0.9</v>
      </c>
      <c r="H13" s="115">
        <f t="shared" ref="H13" si="0">G13</f>
        <v>0.9</v>
      </c>
    </row>
    <row r="14" spans="3:17" ht="3.75" customHeight="1" x14ac:dyDescent="0.25"/>
    <row r="15" spans="3:17" x14ac:dyDescent="0.25">
      <c r="C15" s="67" t="s">
        <v>246</v>
      </c>
      <c r="E15" s="66" t="s">
        <v>62</v>
      </c>
      <c r="F15" s="66" t="s">
        <v>61</v>
      </c>
    </row>
    <row r="16" spans="3:17" x14ac:dyDescent="0.25">
      <c r="C16" s="67"/>
      <c r="F16" s="66" t="s">
        <v>231</v>
      </c>
    </row>
    <row r="17" spans="3:6" x14ac:dyDescent="0.25">
      <c r="C17" s="66"/>
      <c r="F17" s="66" t="s">
        <v>230</v>
      </c>
    </row>
  </sheetData>
  <mergeCells count="2">
    <mergeCell ref="C6:H6"/>
    <mergeCell ref="P6:Q6"/>
  </mergeCells>
  <conditionalFormatting sqref="H10:H13">
    <cfRule type="iconSet" priority="2">
      <iconSet iconSet="3Symbol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185B54E-00CB-46F9-94EF-004B6225EC70}">
            <x14:iconSet iconSet="3Symbols" showValue="0" custom="1">
              <x14:cfvo type="percent">
                <xm:f>0</xm:f>
              </x14:cfvo>
              <x14:cfvo type="percent">
                <xm:f>70</xm:f>
              </x14:cfvo>
              <x14:cfvo type="percent">
                <xm:f>90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H10:H13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992b9f4-16db-4ac1-af24-cc7c28db8625}" enabled="1" method="Privileged" siteId="{84c09349-8a90-4f46-b88a-2a034acb8b2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1-Desequilíbrio Atuarial </vt:lpstr>
      <vt:lpstr>Planilha1</vt:lpstr>
      <vt:lpstr>2- Legal, Reg. e Governança</vt:lpstr>
      <vt:lpstr>3 -  Cibernético e Tecnologia</vt:lpstr>
      <vt:lpstr>Planilha3</vt:lpstr>
      <vt:lpstr>4- Inef. Operacinal</vt:lpstr>
      <vt:lpstr>Planilha2</vt:lpstr>
    </vt:vector>
  </TitlesOfParts>
  <Company>PETROS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Antoniol Ribeiro</dc:creator>
  <cp:lastModifiedBy>Melina Antoniol Ribeiro</cp:lastModifiedBy>
  <dcterms:created xsi:type="dcterms:W3CDTF">2023-08-03T14:03:05Z</dcterms:created>
  <dcterms:modified xsi:type="dcterms:W3CDTF">2026-02-13T14:42:09Z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2b9f4-16db-4ac1-af24-cc7c28db8625_Enabled">
    <vt:lpwstr>true</vt:lpwstr>
  </property>
  <property fmtid="{D5CDD505-2E9C-101B-9397-08002B2CF9AE}" pid="3" name="MSIP_Label_b992b9f4-16db-4ac1-af24-cc7c28db8625_SetDate">
    <vt:lpwstr>2023-08-03T14:24:37Z</vt:lpwstr>
  </property>
  <property fmtid="{D5CDD505-2E9C-101B-9397-08002B2CF9AE}" pid="4" name="MSIP_Label_b992b9f4-16db-4ac1-af24-cc7c28db8625_Method">
    <vt:lpwstr>Privileged</vt:lpwstr>
  </property>
  <property fmtid="{D5CDD505-2E9C-101B-9397-08002B2CF9AE}" pid="5" name="MSIP_Label_b992b9f4-16db-4ac1-af24-cc7c28db8625_Name">
    <vt:lpwstr>Interno</vt:lpwstr>
  </property>
  <property fmtid="{D5CDD505-2E9C-101B-9397-08002B2CF9AE}" pid="6" name="MSIP_Label_b992b9f4-16db-4ac1-af24-cc7c28db8625_SiteId">
    <vt:lpwstr>84c09349-8a90-4f46-b88a-2a034acb8b25</vt:lpwstr>
  </property>
  <property fmtid="{D5CDD505-2E9C-101B-9397-08002B2CF9AE}" pid="7" name="MSIP_Label_b992b9f4-16db-4ac1-af24-cc7c28db8625_ActionId">
    <vt:lpwstr>436d67ba-7f38-4455-abfa-b1094ef5e116</vt:lpwstr>
  </property>
  <property fmtid="{D5CDD505-2E9C-101B-9397-08002B2CF9AE}" pid="8" name="MSIP_Label_b992b9f4-16db-4ac1-af24-cc7c28db8625_ContentBits">
    <vt:lpwstr>2</vt:lpwstr>
  </property>
  <property fmtid="{D5CDD505-2E9C-101B-9397-08002B2CF9AE}" pid="9" name="EcoUpdateId">
    <vt:lpwstr>1407957100</vt:lpwstr>
  </property>
  <property fmtid="{D5CDD505-2E9C-101B-9397-08002B2CF9AE}" pid="10" name="EcoUpdateMessage">
    <vt:lpwstr>2024/08/12-19:11:40</vt:lpwstr>
  </property>
  <property fmtid="{D5CDD505-2E9C-101B-9397-08002B2CF9AE}" pid="11" name="EcoUpdateStatus">
    <vt:lpwstr>2024-08-09=BRA:St,ME,Fd,TP;USA:St,ME;ARG:St,ME,Fd,TP;MEX:St,ME,Fd,TP;CHL:St,ME,Fd;COL:St,ME;PER:St,ME|2022-10-17=USA:TP|2021-11-17=CHL:TP|2014-02-26=VEN:St|2002-11-08=JPN:St|2024-08-01=GBR:St,ME|2016-08-18=NNN:St|2024-08-05=COL:Fd|2024-08-08=PER:Fd,TP;SAU:St|2007-01-31=ESP:St|2003-01-29=CHN:St|2003-01-28=TWN:St|2003-01-30=HKG:St;KOR:St|2023-01-19=OTH:St|2024-03-27=PAN:St|2024-06-24=SAU:ME</vt:lpwstr>
  </property>
</Properties>
</file>