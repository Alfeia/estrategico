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fundacaopetros-my.sharepoint.com/personal/luis_sousa_petros_com_br/Documents/Área de Trabalho/teste/"/>
    </mc:Choice>
  </mc:AlternateContent>
  <xr:revisionPtr revIDLastSave="92" documentId="11_D85E4FC13B22DE14B5DD9F2F46737E2DF09353B8" xr6:coauthVersionLast="47" xr6:coauthVersionMax="47" xr10:uidLastSave="{38BA7B3C-387C-47BA-9983-FA14735B809E}"/>
  <bookViews>
    <workbookView xWindow="-120" yWindow="-120" windowWidth="25440" windowHeight="15270" activeTab="5" xr2:uid="{00000000-000D-0000-FFFF-FFFF00000000}"/>
  </bookViews>
  <sheets>
    <sheet name="LEIA-ME" sheetId="1" r:id="rId1"/>
    <sheet name="Dim_Risco" sheetId="2" r:id="rId2"/>
    <sheet name="Dim_Tempo" sheetId="3" r:id="rId3"/>
    <sheet name="Fato_Indicadores" sheetId="4" r:id="rId4"/>
    <sheet name="Dim_KRI" sheetId="5" r:id="rId5"/>
    <sheet name="Fato_KRI" sheetId="6" r:id="rId6"/>
    <sheet name="Planos_Acao" sheetId="7" r:id="rId7"/>
  </sheets>
  <definedNames>
    <definedName name="_xlnm._FilterDatabase" localSheetId="3" hidden="1">Fato_Indicadores!$A$1:$G$21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4" l="1"/>
  <c r="F4" i="4"/>
  <c r="F5" i="4"/>
  <c r="F6" i="4"/>
  <c r="F7" i="4"/>
  <c r="F8" i="4"/>
  <c r="F10" i="4"/>
  <c r="F11" i="4"/>
  <c r="F12" i="4"/>
  <c r="F13" i="4"/>
  <c r="F14" i="4"/>
  <c r="F15" i="4"/>
  <c r="F16" i="4"/>
  <c r="F17" i="4"/>
  <c r="F18" i="4"/>
  <c r="F19" i="4"/>
  <c r="F20" i="4"/>
  <c r="F21" i="4"/>
  <c r="F3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" i="4"/>
</calcChain>
</file>

<file path=xl/sharedStrings.xml><?xml version="1.0" encoding="utf-8"?>
<sst xmlns="http://schemas.openxmlformats.org/spreadsheetml/2006/main" count="230" uniqueCount="159">
  <si>
    <t>Base de dados — Painel Farol Risco Estratégico 2026</t>
  </si>
  <si>
    <t>Estrutura (modelo estrela):</t>
  </si>
  <si>
    <t>TABELAS DE DIMENSÃO</t>
  </si>
  <si>
    <t xml:space="preserve">  Dim_Risco       — Cadastro dos 4 riscos estratégicos</t>
  </si>
  <si>
    <t xml:space="preserve">  Dim_Tempo       — Calendário (jun/25 – mai/26)</t>
  </si>
  <si>
    <t xml:space="preserve">  Dim_KRI         — Cadastro dos KRIs componentes</t>
  </si>
  <si>
    <t>TABELAS FATO</t>
  </si>
  <si>
    <t xml:space="preserve">  Fato_Indicadores — Histórico mensal de atingimento por risco</t>
  </si>
  <si>
    <t xml:space="preserve">  Fato_KRI         — Status dos KRIs no mês corrente</t>
  </si>
  <si>
    <t xml:space="preserve">  Planos_Acao      — Planos de ação vinculados aos riscos</t>
  </si>
  <si>
    <t>RELACIONAMENTOS NO POWER BI:</t>
  </si>
  <si>
    <t xml:space="preserve">  Dim_Risco[ID_Risco]   →   Fato_Indicadores[ID_Risco]   (1:N)</t>
  </si>
  <si>
    <t xml:space="preserve">  Dim_Risco[ID_Risco]   →   Fato_KRI[ID_Risco]           (1:N)</t>
  </si>
  <si>
    <t xml:space="preserve">  Dim_Risco[ID_Risco]   →   Dim_KRI[ID_Risco]            (1:N)</t>
  </si>
  <si>
    <t xml:space="preserve">  Dim_Risco[ID_Risco]   →   Planos_Acao[ID_Risco]        (1:N)</t>
  </si>
  <si>
    <t xml:space="preserve">  Dim_KRI[ID_KRI]       →   Fato_KRI[ID_KRI]             (1:N)</t>
  </si>
  <si>
    <t xml:space="preserve">  Dim_Tempo[Data]       →   Fato_Indicadores[Data]       (1:N)</t>
  </si>
  <si>
    <t xml:space="preserve">  Dim_Tempo[Data]       →   Fato_KRI[Data]               (1:N)</t>
  </si>
  <si>
    <t>OBSERVAÇÕES</t>
  </si>
  <si>
    <t xml:space="preserve">  • Todos os dados são FICTÍCIOS, gerados para fins de demonstração.</t>
  </si>
  <si>
    <t xml:space="preserve">  • Mês de referência atual: 05/2026 (31/05/2026).</t>
  </si>
  <si>
    <t xml:space="preserve">  • Meta padrão de atingimento: 90% para todos os riscos.</t>
  </si>
  <si>
    <t xml:space="preserve">  • Critério de farol: Verde ≥ 90% · Amarelo 70–90% · Vermelho &lt; 70%.</t>
  </si>
  <si>
    <t>ID_Risco</t>
  </si>
  <si>
    <t>Codigo</t>
  </si>
  <si>
    <t>Nome_Risco</t>
  </si>
  <si>
    <t>Categoria</t>
  </si>
  <si>
    <t>Responsavel</t>
  </si>
  <si>
    <t>Area_Responsavel</t>
  </si>
  <si>
    <t>Meta_Atingimento</t>
  </si>
  <si>
    <t>Ordem_Exibicao</t>
  </si>
  <si>
    <t>R01</t>
  </si>
  <si>
    <t>Desequilíbrio Atuarial</t>
  </si>
  <si>
    <t>Atuarial</t>
  </si>
  <si>
    <t>Joyce Gomes Silva</t>
  </si>
  <si>
    <t>GRC/CP</t>
  </si>
  <si>
    <t>R02</t>
  </si>
  <si>
    <t>Legal, Regulatório e Governança</t>
  </si>
  <si>
    <t>Compliance</t>
  </si>
  <si>
    <t>Monique Carvalho</t>
  </si>
  <si>
    <t>GRC/GP</t>
  </si>
  <si>
    <t>R03</t>
  </si>
  <si>
    <t>Cibernético e Tecnologia</t>
  </si>
  <si>
    <t>Operacional</t>
  </si>
  <si>
    <t>Pedro Martins Gomes</t>
  </si>
  <si>
    <t>GRC/SI</t>
  </si>
  <si>
    <t>R04</t>
  </si>
  <si>
    <t>Ineficiência Operacional</t>
  </si>
  <si>
    <t>Equipe GRC/CI</t>
  </si>
  <si>
    <t>GRC/CI</t>
  </si>
  <si>
    <t>Data</t>
  </si>
  <si>
    <t>Ano</t>
  </si>
  <si>
    <t>Mes</t>
  </si>
  <si>
    <t>Mes_Nome</t>
  </si>
  <si>
    <t>Mes_Ano</t>
  </si>
  <si>
    <t>Trimestre</t>
  </si>
  <si>
    <t>Eh_Mes_Atual</t>
  </si>
  <si>
    <t>Não</t>
  </si>
  <si>
    <t>Jan</t>
  </si>
  <si>
    <t>Jan/26</t>
  </si>
  <si>
    <t>2026-T1</t>
  </si>
  <si>
    <t>Fev</t>
  </si>
  <si>
    <t>Fev/26</t>
  </si>
  <si>
    <t>Mar</t>
  </si>
  <si>
    <t>Mar/26</t>
  </si>
  <si>
    <t>Abr</t>
  </si>
  <si>
    <t>Abr/26</t>
  </si>
  <si>
    <t>2026-T2</t>
  </si>
  <si>
    <t>Mai</t>
  </si>
  <si>
    <t>Mai/26</t>
  </si>
  <si>
    <t>Sim</t>
  </si>
  <si>
    <t>Codigo_Risco</t>
  </si>
  <si>
    <t>Real_Atingimento</t>
  </si>
  <si>
    <t>Meta</t>
  </si>
  <si>
    <t>Variacao_pp_vs_anterior</t>
  </si>
  <si>
    <t>Status_Farol</t>
  </si>
  <si>
    <t>Verde</t>
  </si>
  <si>
    <t>Amarelo</t>
  </si>
  <si>
    <t>Vermelho</t>
  </si>
  <si>
    <t>ID_KRI</t>
  </si>
  <si>
    <t>Codigo_KRI</t>
  </si>
  <si>
    <t>Nome_KRI</t>
  </si>
  <si>
    <t>Descricao</t>
  </si>
  <si>
    <t>Meta_KRI</t>
  </si>
  <si>
    <t>KRI 1.1</t>
  </si>
  <si>
    <t>Cobertura da provisão matemática</t>
  </si>
  <si>
    <t>% de cobertura da provisão sobre o passivo atuarial</t>
  </si>
  <si>
    <t>KRI 1.2</t>
  </si>
  <si>
    <t>Aderência da curva de juros</t>
  </si>
  <si>
    <t>Distância entre taxa atuarial e mercado</t>
  </si>
  <si>
    <t>KRI 1.3</t>
  </si>
  <si>
    <t>Hipóteses biométricas revisadas</t>
  </si>
  <si>
    <t>Revisão anual de tábuas e hipóteses</t>
  </si>
  <si>
    <t>KRI 2.1</t>
  </si>
  <si>
    <t>Tempestividade de resposta a órgãos</t>
  </si>
  <si>
    <t>% de respostas dentro do prazo regulatório</t>
  </si>
  <si>
    <t>KRI 2.2</t>
  </si>
  <si>
    <t>Conformidade Resolução PREVIC</t>
  </si>
  <si>
    <t>% de itens regulatórios em conformidade</t>
  </si>
  <si>
    <t>KRI 2.3</t>
  </si>
  <si>
    <t>Atualização de políticas internas</t>
  </si>
  <si>
    <t>% de políticas dentro do ciclo de revisão</t>
  </si>
  <si>
    <t>KRI 3.1</t>
  </si>
  <si>
    <t>Cobertura de patching crítico</t>
  </si>
  <si>
    <t>% de servidores com patches críticos no SLA de 30 dias</t>
  </si>
  <si>
    <t>KRI 3.2</t>
  </si>
  <si>
    <t>Conformidade MFA em sistemas críticos</t>
  </si>
  <si>
    <t>% de usuários com autenticação multifator habilitada</t>
  </si>
  <si>
    <t>KRI 3.3</t>
  </si>
  <si>
    <t>Backup testado mensalmente</t>
  </si>
  <si>
    <t>% de sistemas críticos com teste de restore validado</t>
  </si>
  <si>
    <t>KRI 3.4</t>
  </si>
  <si>
    <t>Treinamento de segurança</t>
  </si>
  <si>
    <t>% de colaboradores capacitados no ano</t>
  </si>
  <si>
    <t>KRI 4.1</t>
  </si>
  <si>
    <t>Processos com SLA cumprido</t>
  </si>
  <si>
    <t>% de processos críticos dentro do SLA definido</t>
  </si>
  <si>
    <t>KRI 4.2</t>
  </si>
  <si>
    <t>Automação de controles-chave</t>
  </si>
  <si>
    <t>% de controles-chave automatizados</t>
  </si>
  <si>
    <t>KRI 4.3</t>
  </si>
  <si>
    <t>Retrabalho operacional</t>
  </si>
  <si>
    <t>% inverso de incidentes operacionais reabertos</t>
  </si>
  <si>
    <t>Real_KRI</t>
  </si>
  <si>
    <t>ID_Plano</t>
  </si>
  <si>
    <t>Acao</t>
  </si>
  <si>
    <t>Prazo</t>
  </si>
  <si>
    <t>Status</t>
  </si>
  <si>
    <t>Percentual_Conclusao</t>
  </si>
  <si>
    <t>PA-2026-031</t>
  </si>
  <si>
    <t>Automação do processo de patching com Intune</t>
  </si>
  <si>
    <t>Equipe Infra/SI</t>
  </si>
  <si>
    <t>Atrasada</t>
  </si>
  <si>
    <t>PA-2026-044</t>
  </si>
  <si>
    <t>Rollout de MFA para 100% dos sistemas críticos</t>
  </si>
  <si>
    <t>Pedro Martins (SI)</t>
  </si>
  <si>
    <t>Em andamento</t>
  </si>
  <si>
    <t>PA-2026-052</t>
  </si>
  <si>
    <t>Implantar rotina mensal de teste de restore</t>
  </si>
  <si>
    <t>Equipe Operações</t>
  </si>
  <si>
    <t>PA-2026-018</t>
  </si>
  <si>
    <t>Campanha de phishing simulado trimestral</t>
  </si>
  <si>
    <t>SI · RH</t>
  </si>
  <si>
    <t>Concluída</t>
  </si>
  <si>
    <t>PA-2026-009</t>
  </si>
  <si>
    <t>Atualização do programa de compliance LGPD</t>
  </si>
  <si>
    <t>Monique Carvalho (GP)</t>
  </si>
  <si>
    <t>PA-2026-015</t>
  </si>
  <si>
    <t>Revisão das políticas de governança</t>
  </si>
  <si>
    <t>PA-2026-027</t>
  </si>
  <si>
    <t>Mapeamento e automação de 10 processos críticos</t>
  </si>
  <si>
    <t>PA-2026-033</t>
  </si>
  <si>
    <t>Implementar dashboard de SLA operacional</t>
  </si>
  <si>
    <t>PA-2026-005</t>
  </si>
  <si>
    <t>Revisão anual de tábuas biométricas</t>
  </si>
  <si>
    <t xml:space="preserve">R1 - Desiquilibrio atuarial </t>
  </si>
  <si>
    <t>R2 - Legal, regulatório e govenança</t>
  </si>
  <si>
    <t xml:space="preserve">R3 - Cibernetico e tecnologia </t>
  </si>
  <si>
    <t xml:space="preserve">R4 - Ineficiencia operacionla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</si>
</sst>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4"/>
      <color rgb="FF0A2540"/>
      <name val="Arial"/>
    </font>
    <font>
      <b/>
      <sz val="11"/>
      <name val="Arial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A254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0" fontId="5" fillId="0" borderId="0"/>
  </cellStyleXfs>
  <cellXfs count="11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9" fontId="2" fillId="0" borderId="1" xfId="0" applyNumberFormat="1" applyFont="1" applyBorder="1" applyAlignment="1">
      <alignment vertical="center"/>
    </xf>
    <xf numFmtId="165" fontId="0" fillId="0" borderId="0" xfId="0" applyNumberFormat="1"/>
  </cellXfs>
  <cellStyles count="2">
    <cellStyle name="Normal" xfId="0" builtinId="0"/>
    <cellStyle name="Normal 2" xfId="1" xr:uid="{983C5600-A96F-478C-9933-F8B2EAB7665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3"/>
  <sheetViews>
    <sheetView topLeftCell="A6" workbookViewId="0">
      <selection activeCell="A32" sqref="A32"/>
    </sheetView>
  </sheetViews>
  <sheetFormatPr defaultRowHeight="15" x14ac:dyDescent="0.25"/>
  <cols>
    <col min="1" max="1" width="80" customWidth="1"/>
  </cols>
  <sheetData>
    <row r="1" spans="1:1" ht="18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s="3"/>
    </row>
    <row r="5" spans="1:1" x14ac:dyDescent="0.25">
      <c r="A5" s="3" t="s">
        <v>2</v>
      </c>
    </row>
    <row r="6" spans="1:1" x14ac:dyDescent="0.25">
      <c r="A6" s="3" t="s">
        <v>3</v>
      </c>
    </row>
    <row r="7" spans="1:1" x14ac:dyDescent="0.25">
      <c r="A7" s="3" t="s">
        <v>4</v>
      </c>
    </row>
    <row r="8" spans="1:1" x14ac:dyDescent="0.25">
      <c r="A8" s="3" t="s">
        <v>5</v>
      </c>
    </row>
    <row r="9" spans="1:1" x14ac:dyDescent="0.25">
      <c r="A9" s="3"/>
    </row>
    <row r="10" spans="1:1" x14ac:dyDescent="0.25">
      <c r="A10" s="3" t="s">
        <v>6</v>
      </c>
    </row>
    <row r="11" spans="1:1" x14ac:dyDescent="0.25">
      <c r="A11" s="3" t="s">
        <v>7</v>
      </c>
    </row>
    <row r="12" spans="1:1" x14ac:dyDescent="0.25">
      <c r="A12" s="3" t="s">
        <v>8</v>
      </c>
    </row>
    <row r="13" spans="1:1" x14ac:dyDescent="0.25">
      <c r="A13" s="3" t="s">
        <v>9</v>
      </c>
    </row>
    <row r="14" spans="1:1" x14ac:dyDescent="0.25">
      <c r="A14" s="3"/>
    </row>
    <row r="15" spans="1:1" x14ac:dyDescent="0.25">
      <c r="A15" s="3" t="s">
        <v>10</v>
      </c>
    </row>
    <row r="16" spans="1:1" x14ac:dyDescent="0.25">
      <c r="A16" s="3" t="s">
        <v>11</v>
      </c>
    </row>
    <row r="17" spans="1:1" x14ac:dyDescent="0.25">
      <c r="A17" s="3" t="s">
        <v>12</v>
      </c>
    </row>
    <row r="18" spans="1:1" x14ac:dyDescent="0.25">
      <c r="A18" s="3" t="s">
        <v>13</v>
      </c>
    </row>
    <row r="19" spans="1:1" x14ac:dyDescent="0.25">
      <c r="A19" s="3" t="s">
        <v>14</v>
      </c>
    </row>
    <row r="20" spans="1:1" x14ac:dyDescent="0.25">
      <c r="A20" s="3" t="s">
        <v>15</v>
      </c>
    </row>
    <row r="21" spans="1:1" x14ac:dyDescent="0.25">
      <c r="A21" s="3" t="s">
        <v>16</v>
      </c>
    </row>
    <row r="22" spans="1:1" x14ac:dyDescent="0.25">
      <c r="A22" s="3" t="s">
        <v>17</v>
      </c>
    </row>
    <row r="23" spans="1:1" x14ac:dyDescent="0.25">
      <c r="A23" s="3"/>
    </row>
    <row r="24" spans="1:1" x14ac:dyDescent="0.25">
      <c r="A24" s="3" t="s">
        <v>18</v>
      </c>
    </row>
    <row r="25" spans="1:1" x14ac:dyDescent="0.25">
      <c r="A25" s="3" t="s">
        <v>19</v>
      </c>
    </row>
    <row r="26" spans="1:1" x14ac:dyDescent="0.25">
      <c r="A26" s="3" t="s">
        <v>20</v>
      </c>
    </row>
    <row r="27" spans="1:1" x14ac:dyDescent="0.25">
      <c r="A27" s="3" t="s">
        <v>21</v>
      </c>
    </row>
    <row r="28" spans="1:1" x14ac:dyDescent="0.25">
      <c r="A28" s="3" t="s">
        <v>22</v>
      </c>
    </row>
    <row r="30" spans="1:1" x14ac:dyDescent="0.25">
      <c r="A30" s="3" t="s">
        <v>155</v>
      </c>
    </row>
    <row r="31" spans="1:1" x14ac:dyDescent="0.25">
      <c r="A31" s="3" t="s">
        <v>156</v>
      </c>
    </row>
    <row r="32" spans="1:1" x14ac:dyDescent="0.25">
      <c r="A32" s="3" t="s">
        <v>157</v>
      </c>
    </row>
    <row r="33" spans="1:1" x14ac:dyDescent="0.25">
      <c r="A33" s="3" t="s">
        <v>158</v>
      </c>
    </row>
  </sheetData>
  <pageMargins left="0.75" right="0.75" top="1" bottom="1" header="0.5" footer="0.5"/>
  <headerFooter>
    <oddFooter>&amp;C_x000D_&amp;1#&amp;"Aptos"&amp;10&amp;K000000 Informação classificada como interna, acessível somente no âmbito da Petros.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>
      <selection activeCell="H5" sqref="H5"/>
    </sheetView>
  </sheetViews>
  <sheetFormatPr defaultRowHeight="15" x14ac:dyDescent="0.25"/>
  <cols>
    <col min="1" max="2" width="10" customWidth="1"/>
    <col min="3" max="3" width="38" customWidth="1"/>
    <col min="4" max="4" width="14" customWidth="1"/>
    <col min="5" max="5" width="24" customWidth="1"/>
    <col min="6" max="6" width="14" customWidth="1"/>
    <col min="7" max="7" width="28.140625" customWidth="1"/>
    <col min="8" max="8" width="33.85546875" customWidth="1"/>
  </cols>
  <sheetData>
    <row r="1" spans="1:8" x14ac:dyDescent="0.25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</row>
    <row r="2" spans="1:8" x14ac:dyDescent="0.25">
      <c r="A2" s="5">
        <v>1</v>
      </c>
      <c r="B2" s="5" t="s">
        <v>31</v>
      </c>
      <c r="C2" s="5" t="s">
        <v>32</v>
      </c>
      <c r="D2" s="5" t="s">
        <v>33</v>
      </c>
      <c r="E2" s="5" t="s">
        <v>34</v>
      </c>
      <c r="F2" s="5" t="s">
        <v>35</v>
      </c>
      <c r="G2" s="6">
        <v>0.9</v>
      </c>
      <c r="H2" s="5">
        <v>1</v>
      </c>
    </row>
    <row r="3" spans="1:8" x14ac:dyDescent="0.25">
      <c r="A3" s="5">
        <v>2</v>
      </c>
      <c r="B3" s="5" t="s">
        <v>36</v>
      </c>
      <c r="C3" s="5" t="s">
        <v>37</v>
      </c>
      <c r="D3" s="5" t="s">
        <v>38</v>
      </c>
      <c r="E3" s="5" t="s">
        <v>39</v>
      </c>
      <c r="F3" s="5" t="s">
        <v>40</v>
      </c>
      <c r="G3" s="6">
        <v>0.9</v>
      </c>
      <c r="H3" s="5">
        <v>2</v>
      </c>
    </row>
    <row r="4" spans="1:8" x14ac:dyDescent="0.25">
      <c r="A4" s="5">
        <v>3</v>
      </c>
      <c r="B4" s="5" t="s">
        <v>41</v>
      </c>
      <c r="C4" s="5" t="s">
        <v>42</v>
      </c>
      <c r="D4" s="5" t="s">
        <v>43</v>
      </c>
      <c r="E4" s="5" t="s">
        <v>44</v>
      </c>
      <c r="F4" s="5" t="s">
        <v>45</v>
      </c>
      <c r="G4" s="6">
        <v>0.9</v>
      </c>
      <c r="H4" s="5">
        <v>3</v>
      </c>
    </row>
    <row r="5" spans="1:8" x14ac:dyDescent="0.25">
      <c r="A5" s="5">
        <v>4</v>
      </c>
      <c r="B5" s="5" t="s">
        <v>46</v>
      </c>
      <c r="C5" s="5" t="s">
        <v>47</v>
      </c>
      <c r="D5" s="5" t="s">
        <v>43</v>
      </c>
      <c r="E5" s="5" t="s">
        <v>48</v>
      </c>
      <c r="F5" s="5" t="s">
        <v>49</v>
      </c>
      <c r="G5" s="6">
        <v>0.9</v>
      </c>
      <c r="H5" s="5">
        <v>4</v>
      </c>
    </row>
  </sheetData>
  <pageMargins left="0.75" right="0.75" top="1" bottom="1" header="0.5" footer="0.5"/>
  <headerFooter>
    <oddFooter>&amp;C_x000D_&amp;1#&amp;"Aptos"&amp;10&amp;K000000 Informação classificada como interna, acessível somente no âmbito da Petros.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>
      <selection activeCell="G11" sqref="G11"/>
    </sheetView>
  </sheetViews>
  <sheetFormatPr defaultRowHeight="15" x14ac:dyDescent="0.25"/>
  <cols>
    <col min="1" max="1" width="12" customWidth="1"/>
    <col min="2" max="3" width="8" customWidth="1"/>
    <col min="4" max="6" width="10" customWidth="1"/>
    <col min="7" max="7" width="22.140625" customWidth="1"/>
  </cols>
  <sheetData>
    <row r="1" spans="1:7" x14ac:dyDescent="0.25">
      <c r="A1" s="4" t="s">
        <v>50</v>
      </c>
      <c r="B1" s="4" t="s">
        <v>51</v>
      </c>
      <c r="C1" s="4" t="s">
        <v>52</v>
      </c>
      <c r="D1" s="4" t="s">
        <v>53</v>
      </c>
      <c r="E1" s="4" t="s">
        <v>54</v>
      </c>
      <c r="F1" s="4" t="s">
        <v>55</v>
      </c>
      <c r="G1" s="4" t="s">
        <v>56</v>
      </c>
    </row>
    <row r="2" spans="1:7" x14ac:dyDescent="0.25">
      <c r="A2" s="7">
        <v>46053</v>
      </c>
      <c r="B2" s="5">
        <v>2026</v>
      </c>
      <c r="C2" s="5">
        <v>1</v>
      </c>
      <c r="D2" s="5" t="s">
        <v>58</v>
      </c>
      <c r="E2" s="5" t="s">
        <v>59</v>
      </c>
      <c r="F2" s="5" t="s">
        <v>60</v>
      </c>
      <c r="G2" s="5" t="s">
        <v>57</v>
      </c>
    </row>
    <row r="3" spans="1:7" x14ac:dyDescent="0.25">
      <c r="A3" s="7">
        <v>46081</v>
      </c>
      <c r="B3" s="5">
        <v>2026</v>
      </c>
      <c r="C3" s="5">
        <v>2</v>
      </c>
      <c r="D3" s="5" t="s">
        <v>61</v>
      </c>
      <c r="E3" s="5" t="s">
        <v>62</v>
      </c>
      <c r="F3" s="5" t="s">
        <v>60</v>
      </c>
      <c r="G3" s="5" t="s">
        <v>57</v>
      </c>
    </row>
    <row r="4" spans="1:7" x14ac:dyDescent="0.25">
      <c r="A4" s="7">
        <v>46112</v>
      </c>
      <c r="B4" s="5">
        <v>2026</v>
      </c>
      <c r="C4" s="5">
        <v>3</v>
      </c>
      <c r="D4" s="5" t="s">
        <v>63</v>
      </c>
      <c r="E4" s="5" t="s">
        <v>64</v>
      </c>
      <c r="F4" s="5" t="s">
        <v>60</v>
      </c>
      <c r="G4" s="5" t="s">
        <v>57</v>
      </c>
    </row>
    <row r="5" spans="1:7" x14ac:dyDescent="0.25">
      <c r="A5" s="7">
        <v>46142</v>
      </c>
      <c r="B5" s="5">
        <v>2026</v>
      </c>
      <c r="C5" s="5">
        <v>4</v>
      </c>
      <c r="D5" s="5" t="s">
        <v>65</v>
      </c>
      <c r="E5" s="5" t="s">
        <v>66</v>
      </c>
      <c r="F5" s="5" t="s">
        <v>67</v>
      </c>
      <c r="G5" s="5" t="s">
        <v>57</v>
      </c>
    </row>
    <row r="6" spans="1:7" x14ac:dyDescent="0.25">
      <c r="A6" s="7">
        <v>46173</v>
      </c>
      <c r="B6" s="5">
        <v>2026</v>
      </c>
      <c r="C6" s="5">
        <v>5</v>
      </c>
      <c r="D6" s="5" t="s">
        <v>68</v>
      </c>
      <c r="E6" s="5" t="s">
        <v>69</v>
      </c>
      <c r="F6" s="5" t="s">
        <v>67</v>
      </c>
      <c r="G6" s="5" t="s">
        <v>70</v>
      </c>
    </row>
  </sheetData>
  <pageMargins left="0.75" right="0.75" top="1" bottom="1" header="0.5" footer="0.5"/>
  <headerFooter>
    <oddFooter>&amp;C_x000D_&amp;1#&amp;"Aptos"&amp;10&amp;K000000 Informação classificada como interna, acessível somente no âmbito da Petros.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workbookViewId="0">
      <selection activeCell="F2" sqref="F2"/>
    </sheetView>
  </sheetViews>
  <sheetFormatPr defaultRowHeight="15" x14ac:dyDescent="0.25"/>
  <cols>
    <col min="1" max="1" width="12" customWidth="1"/>
    <col min="2" max="2" width="10" customWidth="1"/>
    <col min="3" max="3" width="12" customWidth="1"/>
    <col min="4" max="4" width="16" customWidth="1"/>
    <col min="5" max="5" width="10" customWidth="1"/>
    <col min="6" max="6" width="28.140625" customWidth="1"/>
    <col min="7" max="7" width="14" customWidth="1"/>
  </cols>
  <sheetData>
    <row r="1" spans="1:7" x14ac:dyDescent="0.25">
      <c r="A1" s="4" t="s">
        <v>50</v>
      </c>
      <c r="B1" s="4" t="s">
        <v>23</v>
      </c>
      <c r="C1" s="4" t="s">
        <v>71</v>
      </c>
      <c r="D1" s="4" t="s">
        <v>72</v>
      </c>
      <c r="E1" s="4" t="s">
        <v>73</v>
      </c>
      <c r="F1" s="4" t="s">
        <v>74</v>
      </c>
      <c r="G1" s="4" t="s">
        <v>75</v>
      </c>
    </row>
    <row r="2" spans="1:7" x14ac:dyDescent="0.25">
      <c r="A2" s="7">
        <v>46053</v>
      </c>
      <c r="B2" s="5">
        <v>1</v>
      </c>
      <c r="C2" s="5" t="s">
        <v>31</v>
      </c>
      <c r="D2" s="9">
        <v>0.94444444444444442</v>
      </c>
      <c r="E2" s="9">
        <v>0.9</v>
      </c>
      <c r="F2" s="8">
        <v>0</v>
      </c>
      <c r="G2" t="str">
        <f>IF(D2&gt;=E2,"Verde",IF(D2&gt;=70%,"Amarelo","Vermelho"))</f>
        <v>Verde</v>
      </c>
    </row>
    <row r="3" spans="1:7" x14ac:dyDescent="0.25">
      <c r="A3" s="7">
        <v>46081</v>
      </c>
      <c r="B3" s="5">
        <v>1</v>
      </c>
      <c r="C3" s="5" t="s">
        <v>31</v>
      </c>
      <c r="D3" s="9">
        <v>0.89</v>
      </c>
      <c r="E3" s="9">
        <v>0.9</v>
      </c>
      <c r="F3" s="10">
        <f>IF(B3=B2,D3-D2,0)</f>
        <v>-5.4444444444444406E-2</v>
      </c>
      <c r="G3" t="str">
        <f t="shared" ref="G3:G21" si="0">IF(D3&gt;=E3,"Verde",IF(D3&gt;=70%,"Amarelo","Vermelho"))</f>
        <v>Amarelo</v>
      </c>
    </row>
    <row r="4" spans="1:7" x14ac:dyDescent="0.25">
      <c r="A4" s="7">
        <v>46112</v>
      </c>
      <c r="B4" s="5">
        <v>1</v>
      </c>
      <c r="C4" s="5" t="s">
        <v>31</v>
      </c>
      <c r="D4" s="9">
        <v>1</v>
      </c>
      <c r="E4" s="9">
        <v>0.9</v>
      </c>
      <c r="F4">
        <f t="shared" ref="F4:F21" si="1">IF(B4=B3,D4-D3,0)</f>
        <v>0.10999999999999999</v>
      </c>
      <c r="G4" t="str">
        <f t="shared" si="0"/>
        <v>Verde</v>
      </c>
    </row>
    <row r="5" spans="1:7" x14ac:dyDescent="0.25">
      <c r="A5" s="7">
        <v>46142</v>
      </c>
      <c r="B5" s="5">
        <v>1</v>
      </c>
      <c r="C5" s="5" t="s">
        <v>31</v>
      </c>
      <c r="D5" s="9">
        <v>1</v>
      </c>
      <c r="E5" s="9">
        <v>0.9</v>
      </c>
      <c r="F5">
        <f t="shared" si="1"/>
        <v>0</v>
      </c>
      <c r="G5" t="str">
        <f t="shared" si="0"/>
        <v>Verde</v>
      </c>
    </row>
    <row r="6" spans="1:7" x14ac:dyDescent="0.25">
      <c r="A6" s="7">
        <v>46173</v>
      </c>
      <c r="B6" s="5">
        <v>1</v>
      </c>
      <c r="C6" s="5" t="s">
        <v>31</v>
      </c>
      <c r="D6" s="9">
        <v>1</v>
      </c>
      <c r="E6" s="9">
        <v>0.9</v>
      </c>
      <c r="F6">
        <f t="shared" si="1"/>
        <v>0</v>
      </c>
      <c r="G6" t="str">
        <f t="shared" si="0"/>
        <v>Verde</v>
      </c>
    </row>
    <row r="7" spans="1:7" x14ac:dyDescent="0.25">
      <c r="A7" s="7">
        <v>46053</v>
      </c>
      <c r="B7" s="5">
        <v>2</v>
      </c>
      <c r="C7" s="5" t="s">
        <v>36</v>
      </c>
      <c r="D7" s="9">
        <v>0.88</v>
      </c>
      <c r="E7" s="9">
        <v>0.9</v>
      </c>
      <c r="F7">
        <f t="shared" si="1"/>
        <v>0</v>
      </c>
      <c r="G7" t="str">
        <f t="shared" si="0"/>
        <v>Amarelo</v>
      </c>
    </row>
    <row r="8" spans="1:7" x14ac:dyDescent="0.25">
      <c r="A8" s="7">
        <v>46081</v>
      </c>
      <c r="B8" s="5">
        <v>2</v>
      </c>
      <c r="C8" s="5" t="s">
        <v>36</v>
      </c>
      <c r="D8" s="9">
        <v>0.88</v>
      </c>
      <c r="E8" s="9">
        <v>0.9</v>
      </c>
      <c r="F8">
        <f t="shared" si="1"/>
        <v>0</v>
      </c>
      <c r="G8" t="str">
        <f t="shared" si="0"/>
        <v>Amarelo</v>
      </c>
    </row>
    <row r="9" spans="1:7" x14ac:dyDescent="0.25">
      <c r="A9" s="7">
        <v>46112</v>
      </c>
      <c r="B9" s="5">
        <v>2</v>
      </c>
      <c r="C9" s="5" t="s">
        <v>36</v>
      </c>
      <c r="D9" s="9">
        <v>0.77</v>
      </c>
      <c r="E9" s="9">
        <v>0.9</v>
      </c>
      <c r="F9">
        <f>IF(B9=B8,D9-D8,0)</f>
        <v>-0.10999999999999999</v>
      </c>
      <c r="G9" t="str">
        <f t="shared" si="0"/>
        <v>Amarelo</v>
      </c>
    </row>
    <row r="10" spans="1:7" x14ac:dyDescent="0.25">
      <c r="A10" s="7">
        <v>46142</v>
      </c>
      <c r="B10" s="5">
        <v>2</v>
      </c>
      <c r="C10" s="5" t="s">
        <v>36</v>
      </c>
      <c r="D10" s="9">
        <v>0.77</v>
      </c>
      <c r="E10" s="9">
        <v>0.9</v>
      </c>
      <c r="F10">
        <f t="shared" si="1"/>
        <v>0</v>
      </c>
      <c r="G10" t="str">
        <f t="shared" si="0"/>
        <v>Amarelo</v>
      </c>
    </row>
    <row r="11" spans="1:7" x14ac:dyDescent="0.25">
      <c r="A11" s="7">
        <v>46173</v>
      </c>
      <c r="B11" s="5">
        <v>2</v>
      </c>
      <c r="C11" s="5" t="s">
        <v>36</v>
      </c>
      <c r="D11" s="9">
        <v>0.73</v>
      </c>
      <c r="E11" s="9">
        <v>0.9</v>
      </c>
      <c r="F11">
        <f t="shared" si="1"/>
        <v>-4.0000000000000036E-2</v>
      </c>
      <c r="G11" t="str">
        <f t="shared" si="0"/>
        <v>Amarelo</v>
      </c>
    </row>
    <row r="12" spans="1:7" x14ac:dyDescent="0.25">
      <c r="A12" s="7">
        <v>46053</v>
      </c>
      <c r="B12" s="5">
        <v>3</v>
      </c>
      <c r="C12" s="5" t="s">
        <v>41</v>
      </c>
      <c r="D12" s="9">
        <v>0.61</v>
      </c>
      <c r="E12" s="9">
        <v>0.9</v>
      </c>
      <c r="F12">
        <f t="shared" si="1"/>
        <v>0</v>
      </c>
      <c r="G12" t="str">
        <f t="shared" si="0"/>
        <v>Vermelho</v>
      </c>
    </row>
    <row r="13" spans="1:7" x14ac:dyDescent="0.25">
      <c r="A13" s="7">
        <v>46081</v>
      </c>
      <c r="B13" s="5">
        <v>3</v>
      </c>
      <c r="C13" s="5" t="s">
        <v>41</v>
      </c>
      <c r="D13" s="9">
        <v>0.68</v>
      </c>
      <c r="E13" s="9">
        <v>0.9</v>
      </c>
      <c r="F13">
        <f t="shared" si="1"/>
        <v>7.0000000000000062E-2</v>
      </c>
      <c r="G13" t="str">
        <f t="shared" si="0"/>
        <v>Vermelho</v>
      </c>
    </row>
    <row r="14" spans="1:7" x14ac:dyDescent="0.25">
      <c r="A14" s="7">
        <v>46112</v>
      </c>
      <c r="B14" s="5">
        <v>3</v>
      </c>
      <c r="C14" s="5" t="s">
        <v>41</v>
      </c>
      <c r="D14" s="9">
        <v>0.55000000000000004</v>
      </c>
      <c r="E14" s="9">
        <v>0.9</v>
      </c>
      <c r="F14">
        <f t="shared" si="1"/>
        <v>-0.13</v>
      </c>
      <c r="G14" t="str">
        <f t="shared" si="0"/>
        <v>Vermelho</v>
      </c>
    </row>
    <row r="15" spans="1:7" x14ac:dyDescent="0.25">
      <c r="A15" s="7">
        <v>46142</v>
      </c>
      <c r="B15" s="5">
        <v>3</v>
      </c>
      <c r="C15" s="5" t="s">
        <v>41</v>
      </c>
      <c r="D15" s="9">
        <v>0.68</v>
      </c>
      <c r="E15" s="9">
        <v>0.9</v>
      </c>
      <c r="F15">
        <f t="shared" si="1"/>
        <v>0.13</v>
      </c>
      <c r="G15" t="str">
        <f t="shared" si="0"/>
        <v>Vermelho</v>
      </c>
    </row>
    <row r="16" spans="1:7" x14ac:dyDescent="0.25">
      <c r="A16" s="7">
        <v>46173</v>
      </c>
      <c r="B16" s="5">
        <v>3</v>
      </c>
      <c r="C16" s="5" t="s">
        <v>41</v>
      </c>
      <c r="D16" s="9">
        <v>0.54</v>
      </c>
      <c r="E16" s="9">
        <v>0.9</v>
      </c>
      <c r="F16">
        <f t="shared" si="1"/>
        <v>-0.14000000000000001</v>
      </c>
      <c r="G16" t="str">
        <f t="shared" si="0"/>
        <v>Vermelho</v>
      </c>
    </row>
    <row r="17" spans="1:7" x14ac:dyDescent="0.25">
      <c r="A17" s="7">
        <v>46053</v>
      </c>
      <c r="B17" s="5">
        <v>4</v>
      </c>
      <c r="C17" s="5" t="s">
        <v>46</v>
      </c>
      <c r="D17" s="9">
        <v>0.9</v>
      </c>
      <c r="E17" s="9">
        <v>0.9</v>
      </c>
      <c r="F17">
        <f t="shared" si="1"/>
        <v>0</v>
      </c>
      <c r="G17" t="str">
        <f t="shared" si="0"/>
        <v>Verde</v>
      </c>
    </row>
    <row r="18" spans="1:7" x14ac:dyDescent="0.25">
      <c r="A18" s="7">
        <v>46081</v>
      </c>
      <c r="B18" s="5">
        <v>4</v>
      </c>
      <c r="C18" s="5" t="s">
        <v>46</v>
      </c>
      <c r="D18" s="9">
        <v>1</v>
      </c>
      <c r="E18" s="9">
        <v>0.9</v>
      </c>
      <c r="F18">
        <f t="shared" si="1"/>
        <v>9.9999999999999978E-2</v>
      </c>
      <c r="G18" t="str">
        <f t="shared" si="0"/>
        <v>Verde</v>
      </c>
    </row>
    <row r="19" spans="1:7" x14ac:dyDescent="0.25">
      <c r="A19" s="7">
        <v>46112</v>
      </c>
      <c r="B19" s="5">
        <v>4</v>
      </c>
      <c r="C19" s="5" t="s">
        <v>46</v>
      </c>
      <c r="D19" s="9">
        <v>0.64</v>
      </c>
      <c r="E19" s="9">
        <v>0.9</v>
      </c>
      <c r="F19">
        <f t="shared" si="1"/>
        <v>-0.36</v>
      </c>
      <c r="G19" t="str">
        <f t="shared" si="0"/>
        <v>Vermelho</v>
      </c>
    </row>
    <row r="20" spans="1:7" x14ac:dyDescent="0.25">
      <c r="A20" s="7">
        <v>46142</v>
      </c>
      <c r="B20" s="5">
        <v>4</v>
      </c>
      <c r="C20" s="5" t="s">
        <v>46</v>
      </c>
      <c r="D20" s="9">
        <v>0.64</v>
      </c>
      <c r="E20" s="9">
        <v>0.9</v>
      </c>
      <c r="F20">
        <f t="shared" si="1"/>
        <v>0</v>
      </c>
      <c r="G20" t="str">
        <f t="shared" si="0"/>
        <v>Vermelho</v>
      </c>
    </row>
    <row r="21" spans="1:7" x14ac:dyDescent="0.25">
      <c r="A21" s="7">
        <v>46173</v>
      </c>
      <c r="B21" s="5">
        <v>4</v>
      </c>
      <c r="C21" s="5" t="s">
        <v>46</v>
      </c>
      <c r="D21" s="9">
        <v>0.64</v>
      </c>
      <c r="E21" s="9">
        <v>0.9</v>
      </c>
      <c r="F21">
        <f t="shared" si="1"/>
        <v>0</v>
      </c>
      <c r="G21" t="str">
        <f t="shared" si="0"/>
        <v>Vermelho</v>
      </c>
    </row>
  </sheetData>
  <autoFilter ref="A1:G21" xr:uid="{00000000-0001-0000-0300-000000000000}"/>
  <pageMargins left="0.75" right="0.75" top="1" bottom="1" header="0.5" footer="0.5"/>
  <headerFooter>
    <oddFooter>&amp;C_x000D_&amp;1#&amp;"Aptos"&amp;10&amp;K000000 Informação classificada como interna, acessível somente no âmbito da Petros.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"/>
  <sheetViews>
    <sheetView workbookViewId="0">
      <selection activeCell="E11" sqref="E11"/>
    </sheetView>
  </sheetViews>
  <sheetFormatPr defaultRowHeight="15" x14ac:dyDescent="0.25"/>
  <cols>
    <col min="1" max="2" width="8" customWidth="1"/>
    <col min="3" max="3" width="10" customWidth="1"/>
    <col min="4" max="4" width="36" customWidth="1"/>
    <col min="5" max="5" width="50" customWidth="1"/>
    <col min="6" max="6" width="10" customWidth="1"/>
    <col min="7" max="7" width="12" customWidth="1"/>
  </cols>
  <sheetData>
    <row r="1" spans="1:7" x14ac:dyDescent="0.25">
      <c r="A1" s="4" t="s">
        <v>79</v>
      </c>
      <c r="B1" s="4" t="s">
        <v>23</v>
      </c>
      <c r="C1" s="4" t="s">
        <v>80</v>
      </c>
      <c r="D1" s="4" t="s">
        <v>81</v>
      </c>
      <c r="E1" s="4" t="s">
        <v>82</v>
      </c>
      <c r="F1" s="4" t="s">
        <v>83</v>
      </c>
      <c r="G1" s="4" t="s">
        <v>27</v>
      </c>
    </row>
    <row r="2" spans="1:7" x14ac:dyDescent="0.25">
      <c r="A2" s="5">
        <v>101</v>
      </c>
      <c r="B2" s="5">
        <v>1</v>
      </c>
      <c r="C2" s="5" t="s">
        <v>84</v>
      </c>
      <c r="D2" s="5" t="s">
        <v>85</v>
      </c>
      <c r="E2" s="5" t="s">
        <v>86</v>
      </c>
      <c r="F2" s="6">
        <v>0.9</v>
      </c>
      <c r="G2" s="5" t="s">
        <v>35</v>
      </c>
    </row>
    <row r="3" spans="1:7" x14ac:dyDescent="0.25">
      <c r="A3" s="5">
        <v>102</v>
      </c>
      <c r="B3" s="5">
        <v>1</v>
      </c>
      <c r="C3" s="5" t="s">
        <v>87</v>
      </c>
      <c r="D3" s="5" t="s">
        <v>88</v>
      </c>
      <c r="E3" s="5" t="s">
        <v>89</v>
      </c>
      <c r="F3" s="6">
        <v>0.9</v>
      </c>
      <c r="G3" s="5" t="s">
        <v>35</v>
      </c>
    </row>
    <row r="4" spans="1:7" x14ac:dyDescent="0.25">
      <c r="A4" s="5">
        <v>103</v>
      </c>
      <c r="B4" s="5">
        <v>1</v>
      </c>
      <c r="C4" s="5" t="s">
        <v>90</v>
      </c>
      <c r="D4" s="5" t="s">
        <v>91</v>
      </c>
      <c r="E4" s="5" t="s">
        <v>92</v>
      </c>
      <c r="F4" s="6">
        <v>0.9</v>
      </c>
      <c r="G4" s="5" t="s">
        <v>35</v>
      </c>
    </row>
    <row r="5" spans="1:7" x14ac:dyDescent="0.25">
      <c r="A5" s="5">
        <v>201</v>
      </c>
      <c r="B5" s="5">
        <v>2</v>
      </c>
      <c r="C5" s="5" t="s">
        <v>93</v>
      </c>
      <c r="D5" s="5" t="s">
        <v>94</v>
      </c>
      <c r="E5" s="5" t="s">
        <v>95</v>
      </c>
      <c r="F5" s="6">
        <v>0.9</v>
      </c>
      <c r="G5" s="5" t="s">
        <v>40</v>
      </c>
    </row>
    <row r="6" spans="1:7" x14ac:dyDescent="0.25">
      <c r="A6" s="5">
        <v>202</v>
      </c>
      <c r="B6" s="5">
        <v>2</v>
      </c>
      <c r="C6" s="5" t="s">
        <v>96</v>
      </c>
      <c r="D6" s="5" t="s">
        <v>97</v>
      </c>
      <c r="E6" s="5" t="s">
        <v>98</v>
      </c>
      <c r="F6" s="6">
        <v>0.9</v>
      </c>
      <c r="G6" s="5" t="s">
        <v>40</v>
      </c>
    </row>
    <row r="7" spans="1:7" x14ac:dyDescent="0.25">
      <c r="A7" s="5">
        <v>203</v>
      </c>
      <c r="B7" s="5">
        <v>2</v>
      </c>
      <c r="C7" s="5" t="s">
        <v>99</v>
      </c>
      <c r="D7" s="5" t="s">
        <v>100</v>
      </c>
      <c r="E7" s="5" t="s">
        <v>101</v>
      </c>
      <c r="F7" s="6">
        <v>0.9</v>
      </c>
      <c r="G7" s="5" t="s">
        <v>40</v>
      </c>
    </row>
    <row r="8" spans="1:7" x14ac:dyDescent="0.25">
      <c r="A8" s="5">
        <v>301</v>
      </c>
      <c r="B8" s="5">
        <v>3</v>
      </c>
      <c r="C8" s="5" t="s">
        <v>102</v>
      </c>
      <c r="D8" s="5" t="s">
        <v>103</v>
      </c>
      <c r="E8" s="5" t="s">
        <v>104</v>
      </c>
      <c r="F8" s="6">
        <v>0.9</v>
      </c>
      <c r="G8" s="5" t="s">
        <v>45</v>
      </c>
    </row>
    <row r="9" spans="1:7" x14ac:dyDescent="0.25">
      <c r="A9" s="5">
        <v>302</v>
      </c>
      <c r="B9" s="5">
        <v>3</v>
      </c>
      <c r="C9" s="5" t="s">
        <v>105</v>
      </c>
      <c r="D9" s="5" t="s">
        <v>106</v>
      </c>
      <c r="E9" s="5" t="s">
        <v>107</v>
      </c>
      <c r="F9" s="6">
        <v>0.9</v>
      </c>
      <c r="G9" s="5" t="s">
        <v>45</v>
      </c>
    </row>
    <row r="10" spans="1:7" x14ac:dyDescent="0.25">
      <c r="A10" s="5">
        <v>303</v>
      </c>
      <c r="B10" s="5">
        <v>3</v>
      </c>
      <c r="C10" s="5" t="s">
        <v>108</v>
      </c>
      <c r="D10" s="5" t="s">
        <v>109</v>
      </c>
      <c r="E10" s="5" t="s">
        <v>110</v>
      </c>
      <c r="F10" s="6">
        <v>0.9</v>
      </c>
      <c r="G10" s="5" t="s">
        <v>45</v>
      </c>
    </row>
    <row r="11" spans="1:7" x14ac:dyDescent="0.25">
      <c r="A11" s="5">
        <v>304</v>
      </c>
      <c r="B11" s="5">
        <v>3</v>
      </c>
      <c r="C11" s="5" t="s">
        <v>111</v>
      </c>
      <c r="D11" s="5" t="s">
        <v>112</v>
      </c>
      <c r="E11" s="5" t="s">
        <v>113</v>
      </c>
      <c r="F11" s="6">
        <v>0.9</v>
      </c>
      <c r="G11" s="5" t="s">
        <v>45</v>
      </c>
    </row>
    <row r="12" spans="1:7" x14ac:dyDescent="0.25">
      <c r="A12" s="5">
        <v>401</v>
      </c>
      <c r="B12" s="5">
        <v>4</v>
      </c>
      <c r="C12" s="5" t="s">
        <v>114</v>
      </c>
      <c r="D12" s="5" t="s">
        <v>115</v>
      </c>
      <c r="E12" s="5" t="s">
        <v>116</v>
      </c>
      <c r="F12" s="6">
        <v>0.9</v>
      </c>
      <c r="G12" s="5" t="s">
        <v>49</v>
      </c>
    </row>
    <row r="13" spans="1:7" x14ac:dyDescent="0.25">
      <c r="A13" s="5">
        <v>402</v>
      </c>
      <c r="B13" s="5">
        <v>4</v>
      </c>
      <c r="C13" s="5" t="s">
        <v>117</v>
      </c>
      <c r="D13" s="5" t="s">
        <v>118</v>
      </c>
      <c r="E13" s="5" t="s">
        <v>119</v>
      </c>
      <c r="F13" s="6">
        <v>0.9</v>
      </c>
      <c r="G13" s="5" t="s">
        <v>49</v>
      </c>
    </row>
    <row r="14" spans="1:7" x14ac:dyDescent="0.25">
      <c r="A14" s="5">
        <v>403</v>
      </c>
      <c r="B14" s="5">
        <v>4</v>
      </c>
      <c r="C14" s="5" t="s">
        <v>120</v>
      </c>
      <c r="D14" s="5" t="s">
        <v>121</v>
      </c>
      <c r="E14" s="5" t="s">
        <v>122</v>
      </c>
      <c r="F14" s="6">
        <v>0.9</v>
      </c>
      <c r="G14" s="5" t="s">
        <v>49</v>
      </c>
    </row>
  </sheetData>
  <pageMargins left="0.75" right="0.75" top="1" bottom="1" header="0.5" footer="0.5"/>
  <headerFooter>
    <oddFooter>&amp;C_x000D_&amp;1#&amp;"Aptos"&amp;10&amp;K000000 Informação classificada como interna, acessível somente no âmbito da Petros.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"/>
  <sheetViews>
    <sheetView tabSelected="1" workbookViewId="0">
      <selection activeCell="E17" sqref="E17"/>
    </sheetView>
  </sheetViews>
  <sheetFormatPr defaultRowHeight="15" x14ac:dyDescent="0.25"/>
  <cols>
    <col min="1" max="1" width="12" customWidth="1"/>
    <col min="2" max="3" width="8" customWidth="1"/>
    <col min="4" max="5" width="12" customWidth="1"/>
    <col min="6" max="6" width="14" customWidth="1"/>
  </cols>
  <sheetData>
    <row r="1" spans="1:6" x14ac:dyDescent="0.25">
      <c r="A1" s="4" t="s">
        <v>50</v>
      </c>
      <c r="B1" s="4" t="s">
        <v>79</v>
      </c>
      <c r="C1" s="4" t="s">
        <v>23</v>
      </c>
      <c r="D1" s="4" t="s">
        <v>123</v>
      </c>
      <c r="E1" s="4" t="s">
        <v>83</v>
      </c>
      <c r="F1" s="4" t="s">
        <v>75</v>
      </c>
    </row>
    <row r="2" spans="1:6" x14ac:dyDescent="0.25">
      <c r="A2" s="7">
        <v>46173</v>
      </c>
      <c r="B2" s="5">
        <v>101</v>
      </c>
      <c r="C2" s="5">
        <v>1</v>
      </c>
      <c r="D2" s="6">
        <v>0.98</v>
      </c>
      <c r="E2" s="6">
        <v>0.95</v>
      </c>
      <c r="F2" s="5" t="s">
        <v>76</v>
      </c>
    </row>
    <row r="3" spans="1:6" x14ac:dyDescent="0.25">
      <c r="A3" s="7">
        <v>46173</v>
      </c>
      <c r="B3" s="5">
        <v>102</v>
      </c>
      <c r="C3" s="5">
        <v>1</v>
      </c>
      <c r="D3" s="6">
        <v>0.94</v>
      </c>
      <c r="E3" s="6">
        <v>0.9</v>
      </c>
      <c r="F3" s="5" t="s">
        <v>76</v>
      </c>
    </row>
    <row r="4" spans="1:6" x14ac:dyDescent="0.25">
      <c r="A4" s="7">
        <v>46173</v>
      </c>
      <c r="B4" s="5">
        <v>103</v>
      </c>
      <c r="C4" s="5">
        <v>1</v>
      </c>
      <c r="D4" s="6">
        <v>1</v>
      </c>
      <c r="E4" s="6">
        <v>0.9</v>
      </c>
      <c r="F4" s="5" t="s">
        <v>76</v>
      </c>
    </row>
    <row r="5" spans="1:6" x14ac:dyDescent="0.25">
      <c r="A5" s="7">
        <v>46173</v>
      </c>
      <c r="B5" s="5">
        <v>201</v>
      </c>
      <c r="C5" s="5">
        <v>2</v>
      </c>
      <c r="D5" s="6">
        <v>0.78</v>
      </c>
      <c r="E5" s="6">
        <v>0.9</v>
      </c>
      <c r="F5" s="5" t="s">
        <v>77</v>
      </c>
    </row>
    <row r="6" spans="1:6" x14ac:dyDescent="0.25">
      <c r="A6" s="7">
        <v>46173</v>
      </c>
      <c r="B6" s="5">
        <v>202</v>
      </c>
      <c r="C6" s="5">
        <v>2</v>
      </c>
      <c r="D6" s="6">
        <v>0.71</v>
      </c>
      <c r="E6" s="6">
        <v>0.9</v>
      </c>
      <c r="F6" s="5" t="s">
        <v>77</v>
      </c>
    </row>
    <row r="7" spans="1:6" x14ac:dyDescent="0.25">
      <c r="A7" s="7">
        <v>46173</v>
      </c>
      <c r="B7" s="5">
        <v>203</v>
      </c>
      <c r="C7" s="5">
        <v>2</v>
      </c>
      <c r="D7" s="6">
        <v>0.7</v>
      </c>
      <c r="E7" s="6">
        <v>0.9</v>
      </c>
      <c r="F7" s="5" t="s">
        <v>78</v>
      </c>
    </row>
    <row r="8" spans="1:6" x14ac:dyDescent="0.25">
      <c r="A8" s="7">
        <v>46173</v>
      </c>
      <c r="B8" s="5">
        <v>301</v>
      </c>
      <c r="C8" s="5">
        <v>3</v>
      </c>
      <c r="D8" s="6">
        <v>0.42</v>
      </c>
      <c r="E8" s="6">
        <v>0.9</v>
      </c>
      <c r="F8" s="5" t="s">
        <v>78</v>
      </c>
    </row>
    <row r="9" spans="1:6" x14ac:dyDescent="0.25">
      <c r="A9" s="7">
        <v>46173</v>
      </c>
      <c r="B9" s="5">
        <v>302</v>
      </c>
      <c r="C9" s="5">
        <v>3</v>
      </c>
      <c r="D9" s="6">
        <v>0.71</v>
      </c>
      <c r="E9" s="6">
        <v>0.95</v>
      </c>
      <c r="F9" s="5" t="s">
        <v>78</v>
      </c>
    </row>
    <row r="10" spans="1:6" x14ac:dyDescent="0.25">
      <c r="A10" s="7">
        <v>46173</v>
      </c>
      <c r="B10" s="5">
        <v>303</v>
      </c>
      <c r="C10" s="5">
        <v>3</v>
      </c>
      <c r="D10" s="6">
        <v>0.48</v>
      </c>
      <c r="E10" s="6">
        <v>0.9</v>
      </c>
      <c r="F10" s="5" t="s">
        <v>78</v>
      </c>
    </row>
    <row r="11" spans="1:6" x14ac:dyDescent="0.25">
      <c r="A11" s="7">
        <v>46173</v>
      </c>
      <c r="B11" s="5">
        <v>304</v>
      </c>
      <c r="C11" s="5">
        <v>3</v>
      </c>
      <c r="D11" s="6">
        <v>0.94</v>
      </c>
      <c r="E11" s="6">
        <v>0.9</v>
      </c>
      <c r="F11" s="5" t="s">
        <v>76</v>
      </c>
    </row>
    <row r="12" spans="1:6" x14ac:dyDescent="0.25">
      <c r="A12" s="7">
        <v>46173</v>
      </c>
      <c r="B12" s="5">
        <v>401</v>
      </c>
      <c r="C12" s="5">
        <v>4</v>
      </c>
      <c r="D12" s="6">
        <v>0.61</v>
      </c>
      <c r="E12" s="6">
        <v>0.9</v>
      </c>
      <c r="F12" s="5" t="s">
        <v>78</v>
      </c>
    </row>
    <row r="13" spans="1:6" x14ac:dyDescent="0.25">
      <c r="A13" s="7">
        <v>46173</v>
      </c>
      <c r="B13" s="5">
        <v>402</v>
      </c>
      <c r="C13" s="5">
        <v>4</v>
      </c>
      <c r="D13" s="6">
        <v>0.57999999999999996</v>
      </c>
      <c r="E13" s="6">
        <v>0.85</v>
      </c>
      <c r="F13" s="5" t="s">
        <v>78</v>
      </c>
    </row>
    <row r="14" spans="1:6" x14ac:dyDescent="0.25">
      <c r="A14" s="7">
        <v>46173</v>
      </c>
      <c r="B14" s="5">
        <v>403</v>
      </c>
      <c r="C14" s="5">
        <v>4</v>
      </c>
      <c r="D14" s="6">
        <v>0.73</v>
      </c>
      <c r="E14" s="6">
        <v>0.9</v>
      </c>
      <c r="F14" s="5" t="s">
        <v>77</v>
      </c>
    </row>
  </sheetData>
  <pageMargins left="0.75" right="0.75" top="1" bottom="1" header="0.5" footer="0.5"/>
  <headerFooter>
    <oddFooter>&amp;C_x000D_&amp;1#&amp;"Aptos"&amp;10&amp;K000000 Informação classificada como interna, acessível somente no âmbito da Petros.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/>
  </sheetViews>
  <sheetFormatPr defaultRowHeight="15" x14ac:dyDescent="0.25"/>
  <cols>
    <col min="1" max="1" width="14" customWidth="1"/>
    <col min="2" max="2" width="8" customWidth="1"/>
    <col min="3" max="3" width="50" customWidth="1"/>
    <col min="4" max="4" width="22" customWidth="1"/>
    <col min="5" max="5" width="12" customWidth="1"/>
    <col min="6" max="7" width="14" customWidth="1"/>
  </cols>
  <sheetData>
    <row r="1" spans="1:7" x14ac:dyDescent="0.25">
      <c r="A1" s="4" t="s">
        <v>124</v>
      </c>
      <c r="B1" s="4" t="s">
        <v>23</v>
      </c>
      <c r="C1" s="4" t="s">
        <v>125</v>
      </c>
      <c r="D1" s="4" t="s">
        <v>27</v>
      </c>
      <c r="E1" s="4" t="s">
        <v>126</v>
      </c>
      <c r="F1" s="4" t="s">
        <v>127</v>
      </c>
      <c r="G1" s="4" t="s">
        <v>128</v>
      </c>
    </row>
    <row r="2" spans="1:7" x14ac:dyDescent="0.25">
      <c r="A2" s="5" t="s">
        <v>129</v>
      </c>
      <c r="B2" s="5">
        <v>3</v>
      </c>
      <c r="C2" s="5" t="s">
        <v>130</v>
      </c>
      <c r="D2" s="5" t="s">
        <v>131</v>
      </c>
      <c r="E2" s="7">
        <v>46203</v>
      </c>
      <c r="F2" s="5" t="s">
        <v>132</v>
      </c>
      <c r="G2" s="6">
        <v>0.65</v>
      </c>
    </row>
    <row r="3" spans="1:7" x14ac:dyDescent="0.25">
      <c r="A3" s="5" t="s">
        <v>133</v>
      </c>
      <c r="B3" s="5">
        <v>3</v>
      </c>
      <c r="C3" s="5" t="s">
        <v>134</v>
      </c>
      <c r="D3" s="5" t="s">
        <v>135</v>
      </c>
      <c r="E3" s="7">
        <v>46234</v>
      </c>
      <c r="F3" s="5" t="s">
        <v>136</v>
      </c>
      <c r="G3" s="6">
        <v>0.55000000000000004</v>
      </c>
    </row>
    <row r="4" spans="1:7" x14ac:dyDescent="0.25">
      <c r="A4" s="5" t="s">
        <v>137</v>
      </c>
      <c r="B4" s="5">
        <v>3</v>
      </c>
      <c r="C4" s="5" t="s">
        <v>138</v>
      </c>
      <c r="D4" s="5" t="s">
        <v>139</v>
      </c>
      <c r="E4" s="7">
        <v>46265</v>
      </c>
      <c r="F4" s="5" t="s">
        <v>136</v>
      </c>
      <c r="G4" s="6">
        <v>0.4</v>
      </c>
    </row>
    <row r="5" spans="1:7" x14ac:dyDescent="0.25">
      <c r="A5" s="5" t="s">
        <v>140</v>
      </c>
      <c r="B5" s="5">
        <v>3</v>
      </c>
      <c r="C5" s="5" t="s">
        <v>141</v>
      </c>
      <c r="D5" s="5" t="s">
        <v>142</v>
      </c>
      <c r="E5" s="7">
        <v>46157</v>
      </c>
      <c r="F5" s="5" t="s">
        <v>143</v>
      </c>
      <c r="G5" s="6">
        <v>1</v>
      </c>
    </row>
    <row r="6" spans="1:7" x14ac:dyDescent="0.25">
      <c r="A6" s="5" t="s">
        <v>144</v>
      </c>
      <c r="B6" s="5">
        <v>2</v>
      </c>
      <c r="C6" s="5" t="s">
        <v>145</v>
      </c>
      <c r="D6" s="5" t="s">
        <v>146</v>
      </c>
      <c r="E6" s="7">
        <v>46295</v>
      </c>
      <c r="F6" s="5" t="s">
        <v>136</v>
      </c>
      <c r="G6" s="6">
        <v>0.3</v>
      </c>
    </row>
    <row r="7" spans="1:7" x14ac:dyDescent="0.25">
      <c r="A7" s="5" t="s">
        <v>147</v>
      </c>
      <c r="B7" s="5">
        <v>2</v>
      </c>
      <c r="C7" s="5" t="s">
        <v>148</v>
      </c>
      <c r="D7" s="5" t="s">
        <v>40</v>
      </c>
      <c r="E7" s="7">
        <v>46218</v>
      </c>
      <c r="F7" s="5" t="s">
        <v>136</v>
      </c>
      <c r="G7" s="6">
        <v>0.5</v>
      </c>
    </row>
    <row r="8" spans="1:7" x14ac:dyDescent="0.25">
      <c r="A8" s="5" t="s">
        <v>149</v>
      </c>
      <c r="B8" s="5">
        <v>4</v>
      </c>
      <c r="C8" s="5" t="s">
        <v>150</v>
      </c>
      <c r="D8" s="5" t="s">
        <v>49</v>
      </c>
      <c r="E8" s="7">
        <v>46387</v>
      </c>
      <c r="F8" s="5" t="s">
        <v>136</v>
      </c>
      <c r="G8" s="6">
        <v>0.2</v>
      </c>
    </row>
    <row r="9" spans="1:7" x14ac:dyDescent="0.25">
      <c r="A9" s="5" t="s">
        <v>151</v>
      </c>
      <c r="B9" s="5">
        <v>4</v>
      </c>
      <c r="C9" s="5" t="s">
        <v>152</v>
      </c>
      <c r="D9" s="5" t="s">
        <v>49</v>
      </c>
      <c r="E9" s="7">
        <v>46265</v>
      </c>
      <c r="F9" s="5" t="s">
        <v>136</v>
      </c>
      <c r="G9" s="6">
        <v>0.45</v>
      </c>
    </row>
    <row r="10" spans="1:7" x14ac:dyDescent="0.25">
      <c r="A10" s="5" t="s">
        <v>153</v>
      </c>
      <c r="B10" s="5">
        <v>1</v>
      </c>
      <c r="C10" s="5" t="s">
        <v>154</v>
      </c>
      <c r="D10" s="5" t="s">
        <v>35</v>
      </c>
      <c r="E10" s="7">
        <v>46142</v>
      </c>
      <c r="F10" s="5" t="s">
        <v>143</v>
      </c>
      <c r="G10" s="6">
        <v>1</v>
      </c>
    </row>
  </sheetData>
  <pageMargins left="0.75" right="0.75" top="1" bottom="1" header="0.5" footer="0.5"/>
  <headerFooter>
    <oddFooter>&amp;C_x000D_&amp;1#&amp;"Aptos"&amp;10&amp;K000000 Informação classificada como interna, acessível somente no âmbito da Petros.</oddFooter>
  </headerFooter>
</worksheet>
</file>

<file path=docMetadata/LabelInfo.xml><?xml version="1.0" encoding="utf-8"?>
<clbl:labelList xmlns:clbl="http://schemas.microsoft.com/office/2020/mipLabelMetadata">
  <clbl:label id="{b992b9f4-16db-4ac1-af24-cc7c28db8625}" enabled="1" method="Standard" siteId="{84c09349-8a90-4f46-b88a-2a034acb8b2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LEIA-ME</vt:lpstr>
      <vt:lpstr>Dim_Risco</vt:lpstr>
      <vt:lpstr>Dim_Tempo</vt:lpstr>
      <vt:lpstr>Fato_Indicadores</vt:lpstr>
      <vt:lpstr>Dim_KRI</vt:lpstr>
      <vt:lpstr>Fato_KRI</vt:lpstr>
      <vt:lpstr>Planos_Acao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Eduardo De Sousa Silva</cp:lastModifiedBy>
  <dcterms:created xsi:type="dcterms:W3CDTF">2026-06-18T13:19:20Z</dcterms:created>
  <dcterms:modified xsi:type="dcterms:W3CDTF">2026-06-18T17:11:44Z</dcterms:modified>
</cp:coreProperties>
</file>